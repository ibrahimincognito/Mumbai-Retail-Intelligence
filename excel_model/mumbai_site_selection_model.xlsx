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Ibrahim Study Material\Data Science &amp; Engineering\DA_Project\"/>
    </mc:Choice>
  </mc:AlternateContent>
  <xr:revisionPtr revIDLastSave="0" documentId="13_ncr:1_{EEF354EE-BA31-4ABF-8837-0E2E4F329F90}" xr6:coauthVersionLast="47" xr6:coauthVersionMax="47" xr10:uidLastSave="{00000000-0000-0000-0000-000000000000}"/>
  <bookViews>
    <workbookView xWindow="-120" yWindow="-120" windowWidth="29040" windowHeight="15840" tabRatio="694" activeTab="3" xr2:uid="{16DD9A9A-254A-47CD-83C4-B51B475E50BB}"/>
  </bookViews>
  <sheets>
    <sheet name="CompetitorDetails" sheetId="2" r:id="rId1"/>
    <sheet name="MumbaiLocationAnalysis" sheetId="4" r:id="rId2"/>
    <sheet name="Assumptions" sheetId="1" r:id="rId3"/>
    <sheet name="Model" sheetId="5" r:id="rId4"/>
    <sheet name="Sensitivity" sheetId="7" r:id="rId5"/>
  </sheets>
  <definedNames>
    <definedName name="ExternalData_1" localSheetId="0" hidden="1">'CompetitorDetails'!$A$1:$C$680</definedName>
    <definedName name="ExternalData_1" localSheetId="1" hidden="1">MumbaiLocationAnalysis!$A$1:$U$22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5" l="1"/>
  <c r="J3" i="5"/>
  <c r="J4" i="5"/>
  <c r="J5" i="5"/>
  <c r="J6" i="5"/>
  <c r="J7" i="5"/>
  <c r="J8" i="5"/>
  <c r="J9" i="5"/>
  <c r="J11" i="5"/>
  <c r="J12" i="5"/>
  <c r="J13" i="5"/>
  <c r="J14" i="5"/>
  <c r="J15" i="5"/>
  <c r="J16" i="5"/>
  <c r="J17" i="5"/>
  <c r="J18" i="5"/>
  <c r="J19" i="5"/>
  <c r="J20" i="5"/>
  <c r="J21" i="5"/>
  <c r="J22" i="5"/>
  <c r="J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" i="5"/>
  <c r="K6" i="5"/>
  <c r="L6" i="5" s="1"/>
  <c r="C3" i="7"/>
  <c r="D3" i="7"/>
  <c r="E3" i="7"/>
  <c r="F3" i="7"/>
  <c r="G3" i="7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B4" i="7"/>
  <c r="B5" i="7"/>
  <c r="B6" i="7"/>
  <c r="B7" i="7"/>
  <c r="B3" i="7"/>
  <c r="A3" i="5"/>
  <c r="B3" i="5"/>
  <c r="C3" i="5"/>
  <c r="D3" i="5"/>
  <c r="A4" i="5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D2" i="5"/>
  <c r="C2" i="5"/>
  <c r="B2" i="5"/>
  <c r="A2" i="5"/>
  <c r="F11" i="5" l="1"/>
  <c r="F3" i="5"/>
  <c r="F18" i="5"/>
  <c r="F17" i="5"/>
  <c r="F9" i="5"/>
  <c r="F8" i="5"/>
  <c r="F10" i="5"/>
  <c r="F15" i="5"/>
  <c r="F14" i="5"/>
  <c r="F21" i="5"/>
  <c r="F5" i="5"/>
  <c r="F7" i="5"/>
  <c r="F6" i="5"/>
  <c r="H6" i="5" s="1"/>
  <c r="F20" i="5"/>
  <c r="F12" i="5"/>
  <c r="K7" i="5"/>
  <c r="L7" i="5" s="1"/>
  <c r="K22" i="5"/>
  <c r="L22" i="5" s="1"/>
  <c r="K14" i="5"/>
  <c r="L14" i="5" s="1"/>
  <c r="K13" i="5"/>
  <c r="L13" i="5" s="1"/>
  <c r="K12" i="5"/>
  <c r="L12" i="5" s="1"/>
  <c r="K11" i="5"/>
  <c r="L11" i="5" s="1"/>
  <c r="K3" i="5"/>
  <c r="L3" i="5" s="1"/>
  <c r="K10" i="5"/>
  <c r="L10" i="5" s="1"/>
  <c r="K17" i="5"/>
  <c r="L17" i="5" s="1"/>
  <c r="K9" i="5"/>
  <c r="L9" i="5" s="1"/>
  <c r="K16" i="5"/>
  <c r="L16" i="5" s="1"/>
  <c r="K8" i="5"/>
  <c r="L8" i="5" s="1"/>
  <c r="K21" i="5"/>
  <c r="L21" i="5" s="1"/>
  <c r="K5" i="5"/>
  <c r="L5" i="5" s="1"/>
  <c r="K20" i="5"/>
  <c r="L20" i="5" s="1"/>
  <c r="K4" i="5"/>
  <c r="L4" i="5" s="1"/>
  <c r="K19" i="5"/>
  <c r="L19" i="5" s="1"/>
  <c r="K18" i="5"/>
  <c r="L18" i="5" s="1"/>
  <c r="K2" i="5"/>
  <c r="L2" i="5" s="1"/>
  <c r="K15" i="5"/>
  <c r="L15" i="5" s="1"/>
  <c r="F22" i="5"/>
  <c r="F13" i="5"/>
  <c r="F4" i="5"/>
  <c r="F19" i="5"/>
  <c r="F16" i="5"/>
  <c r="F2" i="5"/>
  <c r="H8" i="5" l="1"/>
  <c r="I8" i="5" s="1"/>
  <c r="H3" i="5"/>
  <c r="H11" i="5"/>
  <c r="M11" i="5" s="1"/>
  <c r="H7" i="5"/>
  <c r="I7" i="5" s="1"/>
  <c r="H2" i="5"/>
  <c r="I2" i="5" s="1"/>
  <c r="H16" i="5"/>
  <c r="I16" i="5" s="1"/>
  <c r="H14" i="5"/>
  <c r="M14" i="5" s="1"/>
  <c r="H22" i="5"/>
  <c r="M22" i="5" s="1"/>
  <c r="H15" i="5"/>
  <c r="I15" i="5" s="1"/>
  <c r="H9" i="5"/>
  <c r="I9" i="5" s="1"/>
  <c r="H18" i="5"/>
  <c r="I18" i="5" s="1"/>
  <c r="H13" i="5"/>
  <c r="I13" i="5" s="1"/>
  <c r="H12" i="5"/>
  <c r="M12" i="5" s="1"/>
  <c r="H4" i="5"/>
  <c r="I4" i="5" s="1"/>
  <c r="H20" i="5"/>
  <c r="I20" i="5" s="1"/>
  <c r="H10" i="5"/>
  <c r="I10" i="5" s="1"/>
  <c r="H21" i="5"/>
  <c r="M21" i="5" s="1"/>
  <c r="H5" i="5"/>
  <c r="M5" i="5" s="1"/>
  <c r="H19" i="5"/>
  <c r="I19" i="5" s="1"/>
  <c r="H17" i="5"/>
  <c r="M17" i="5" s="1"/>
  <c r="M2" i="5"/>
  <c r="I6" i="5"/>
  <c r="M6" i="5"/>
  <c r="M8" i="5" l="1"/>
  <c r="I11" i="5"/>
  <c r="M3" i="5"/>
  <c r="I22" i="5"/>
  <c r="I14" i="5"/>
  <c r="I3" i="5"/>
  <c r="I12" i="5"/>
  <c r="M7" i="5"/>
  <c r="I17" i="5"/>
  <c r="M13" i="5"/>
  <c r="M16" i="5"/>
  <c r="M15" i="5"/>
  <c r="I5" i="5"/>
  <c r="M4" i="5"/>
  <c r="M18" i="5"/>
  <c r="M9" i="5"/>
  <c r="M20" i="5"/>
  <c r="M10" i="5"/>
  <c r="M19" i="5"/>
  <c r="I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Ibrahim Khan</author>
  </authors>
  <commentList>
    <comment ref="K1" authorId="0" shapeId="0" xr:uid="{1C323F53-059A-4C3E-869D-65E798D4E16F}">
      <text>
        <r>
          <rPr>
            <sz val="9"/>
            <color indexed="81"/>
            <rFont val="Tahoma"/>
            <family val="2"/>
          </rPr>
          <t xml:space="preserve">Break-Even Revenue = Monthly Costs / Expected Profit Margin (in %)
</t>
        </r>
      </text>
    </comment>
    <comment ref="L1" authorId="0" shapeId="0" xr:uid="{6F15533A-FB0B-431A-9A25-02BA67A47760}">
      <text>
        <r>
          <rPr>
            <sz val="9"/>
            <color indexed="81"/>
            <rFont val="Tahoma"/>
            <family val="2"/>
          </rPr>
          <t xml:space="preserve">Customers Needed = Break-Even Revenue / (Avg Spend × Operating Days)
</t>
        </r>
      </text>
    </comment>
    <comment ref="M1" authorId="0" shapeId="0" xr:uid="{9DAF9F56-92F4-4403-8AEB-C649A17ACF37}">
      <text>
        <r>
          <rPr>
            <sz val="9"/>
            <color indexed="81"/>
            <rFont val="Tahoma"/>
            <family val="2"/>
          </rPr>
          <t>If Monthly Profit &gt; 0, then Profitable, otherwise Assumptions Need Improvements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Ibrahim Khan</author>
  </authors>
  <commentList>
    <comment ref="B1" authorId="0" shapeId="0" xr:uid="{5420E578-D145-4EAB-B3DA-C06DFFF04F3F}">
      <text>
        <r>
          <rPr>
            <b/>
            <sz val="9"/>
            <color indexed="81"/>
            <rFont val="Tahoma"/>
            <family val="2"/>
          </rPr>
          <t xml:space="preserve">Ideally: We want the lowest rent and highest foot traffic.
This helps in assessing risk. E.g., you can negotiate rent: A 10% reduction (100% → 90%) for fixed traffic say 100% is 59,000 - 50,000 = 9,000 profit.
</t>
        </r>
      </text>
    </comment>
    <comment ref="A2" authorId="0" shapeId="0" xr:uid="{837C134A-1A8D-42C5-8E26-2A37CA86428C}">
      <text>
        <r>
          <rPr>
            <b/>
            <sz val="9"/>
            <color indexed="81"/>
            <rFont val="Tahoma"/>
            <family val="2"/>
          </rPr>
          <t>Foot Traffic = 60% means the Foot Traffic is 60% of what we took as the base case in the Assumptions sheet.
Rent = 70% means the Rent is 70% of what we took as the base case in the Assumptions sheet.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DBEA6A-D24F-45CF-98A2-89101BDDF85F}" keepAlive="1" name="Query - CompetitorDetails" description="Connection to the 'CompetitorDetails' query in the workbook." type="5" refreshedVersion="8" background="1" saveData="1">
    <dbPr connection="Provider=Microsoft.Mashup.OleDb.1;Data Source=$Workbook$;Location=CompetitorDetails;Extended Properties=&quot;&quot;" command="SELECT * FROM [CompetitorDetails]"/>
  </connection>
  <connection id="2" xr16:uid="{99436CD2-EE28-4909-B05D-22ACCE45EE5E}" keepAlive="1" name="Query - MumbaiLocationAnalysis" description="Connection to the 'MumbaiLocationAnalysis' query in the workbook." type="5" refreshedVersion="8" background="1" saveData="1">
    <dbPr connection="Provider=Microsoft.Mashup.OleDb.1;Data Source=$Workbook$;Location=MumbaiLocationAnalysis;Extended Properties=&quot;&quot;" command="SELECT * FROM [MumbaiLocationAnalysis]"/>
  </connection>
</connections>
</file>

<file path=xl/sharedStrings.xml><?xml version="1.0" encoding="utf-8"?>
<sst xmlns="http://schemas.openxmlformats.org/spreadsheetml/2006/main" count="2120" uniqueCount="1181">
  <si>
    <t>name</t>
  </si>
  <si>
    <t>address</t>
  </si>
  <si>
    <t>location_name</t>
  </si>
  <si>
    <t>Flamboyante</t>
  </si>
  <si>
    <t>World Trade Centre (Cuffe Parade, Colaba), Mumbai 400005, Mahārāshtra</t>
  </si>
  <si>
    <t>Colaba</t>
  </si>
  <si>
    <t/>
  </si>
  <si>
    <t>Village</t>
  </si>
  <si>
    <t>World Trade Centre, Tower 5 (Cuffe Parade), Mumbai 400005, Mahārāshtra</t>
  </si>
  <si>
    <t>Nature's Basket</t>
  </si>
  <si>
    <t>World Trade Centre Arcade (Cuffe Parade), Mumbai 400005, Mahārāshtra</t>
  </si>
  <si>
    <t>Baskin-Robbins</t>
  </si>
  <si>
    <t>World Trade Center Shopping Arcade, Mumbai 400005, Mahārāshtra</t>
  </si>
  <si>
    <t>UAE Consulate General</t>
  </si>
  <si>
    <t>United Arab Emirates Consulate General in Mumbai, India (No.7, Jolly Maker, Apartment No. 1, Cuffe Parade, ), Mumbai 400005, Mahārāshtra</t>
  </si>
  <si>
    <t>Vivek Vaswani</t>
  </si>
  <si>
    <t>141 142 Dalamal Park, Cuffe Parade Bombay, 400005</t>
  </si>
  <si>
    <t>Vijay Medico Pharma</t>
  </si>
  <si>
    <t>12/C Usha Sadan, S B S Road, Mumbai 400005, Mahārāshtra</t>
  </si>
  <si>
    <t>Mulla Auditorium</t>
  </si>
  <si>
    <t>Colaba, Mumbai, Mahārāshtra</t>
  </si>
  <si>
    <t>Manoj</t>
  </si>
  <si>
    <t>WTC Pasta</t>
  </si>
  <si>
    <t>Cuffe Parade</t>
  </si>
  <si>
    <t>Colaba Woods</t>
  </si>
  <si>
    <t>Off Prakash Pathe Road, Mumbai 400 005, Mahārāshtra</t>
  </si>
  <si>
    <t>Colabawoods Basketball Court</t>
  </si>
  <si>
    <t>Cuffe Parade 50, Mumbai 400005, Mahārāshtra</t>
  </si>
  <si>
    <t>Cuffe Parade,, Mumbai 400 005., Mahārāshtra</t>
  </si>
  <si>
    <t>King Plaza</t>
  </si>
  <si>
    <t>Maker Arcade (Cuffe Parade), Mumbai 400005, Mahārāshtra</t>
  </si>
  <si>
    <t>Mr. Chow</t>
  </si>
  <si>
    <t>Shahid Bhagatsingh Marg, Colaba, Mumbai, Mahārāshtra</t>
  </si>
  <si>
    <t>Natural's Ice Cream</t>
  </si>
  <si>
    <t>Mumbai, Mahārāshtra</t>
  </si>
  <si>
    <t>Idris Bhai Roll</t>
  </si>
  <si>
    <t>Maker Arcade</t>
  </si>
  <si>
    <t>Maker Towers (Cuffe Parade), Mumbai 400005, Mahārāshtra</t>
  </si>
  <si>
    <t>Café Coffee Day</t>
  </si>
  <si>
    <t>Santoor</t>
  </si>
  <si>
    <t>9/10 Maker Arcade, Mumbai 400 005, Mahārāshtra</t>
  </si>
  <si>
    <t>B. D. Somani International School</t>
  </si>
  <si>
    <t>Cuffe Parade (G. D. Somani marg), Mumbai 400 005, Mahārāshtra</t>
  </si>
  <si>
    <t>Land's End Park</t>
  </si>
  <si>
    <t>Gym TajHotel</t>
  </si>
  <si>
    <t>www.tajhotels.com</t>
  </si>
  <si>
    <t>Santoor Pure Vegetarian</t>
  </si>
  <si>
    <t>Good Luck Motor Driving School</t>
  </si>
  <si>
    <t>7, Hampton Court (125 Wodehouse Road, Volans), Mumbai 400005, Mahārāshtra</t>
  </si>
  <si>
    <t>Sunshine Snack Corner</t>
  </si>
  <si>
    <t>La Patisserie</t>
  </si>
  <si>
    <t>Vivanta by Taj President (90 Cuffe Parade), Mumbai 400005, Mahārāshtra</t>
  </si>
  <si>
    <t>Thai Pavilion</t>
  </si>
  <si>
    <t>Vivanta by Taj - President (90 Cuffe Parade), Mumbai 400005, Mahārāshtra</t>
  </si>
  <si>
    <t>Konkan Cafe</t>
  </si>
  <si>
    <t>Wink</t>
  </si>
  <si>
    <t>90 Cuffe Parade, Mumbai 400005, Mahārāshtra</t>
  </si>
  <si>
    <t>Trattoria</t>
  </si>
  <si>
    <t>Pasta Ring</t>
  </si>
  <si>
    <t>Cuffe parade, Mumbai, Mahārāshtra</t>
  </si>
  <si>
    <t>Consulate General of the United Arab Emirates</t>
  </si>
  <si>
    <t>Maker Tower 'F' (Cuffe Parade), Mumbai 400005, Mahārāshtra</t>
  </si>
  <si>
    <t>Alliance Française</t>
  </si>
  <si>
    <t>G D Somani Marg (Cuffe Parade), Mumbai 400005, Mahārāshtra</t>
  </si>
  <si>
    <t>Olympia Coffee House</t>
  </si>
  <si>
    <t>1 Shahid Bhagat Singh Road, Mumbai 400 039, Mahārāshtra</t>
  </si>
  <si>
    <t>Umame</t>
  </si>
  <si>
    <t>church gate, Mumbai, Mahārāshtra</t>
  </si>
  <si>
    <t>Fort</t>
  </si>
  <si>
    <t>Pronto</t>
  </si>
  <si>
    <t>Churchgate, Eros Cinema Building (Maharishi Karve Road), Mumbai 400020, Mahārāshtra</t>
  </si>
  <si>
    <t>Eros Theatre</t>
  </si>
  <si>
    <t>JN Tata Road, Mumbai, Mahārāshtra</t>
  </si>
  <si>
    <t>Eros Cinema</t>
  </si>
  <si>
    <t>M.K.Road, Mumbai 400020, Mahārāshtra</t>
  </si>
  <si>
    <t>Churchgate Station (Next To Eros Theatre), Mumbai 400020, Mahārāshtra</t>
  </si>
  <si>
    <t>Subway</t>
  </si>
  <si>
    <t>Eros Cinema Building, Churchgate (Veer Nariman Rd.), Mumbai 400020, Mahārāshtra</t>
  </si>
  <si>
    <t>Archies Gallery</t>
  </si>
  <si>
    <t>Jamshedji Tata Road (Churchgate), Mumbai, Mahārāshtra</t>
  </si>
  <si>
    <t>Markiv's</t>
  </si>
  <si>
    <t>Jamshedji Tata Road, Mumbai 400 020, Mahārāshtra</t>
  </si>
  <si>
    <t>Hearth on the First</t>
  </si>
  <si>
    <t>Mumbai 400020, Mahārāshtra</t>
  </si>
  <si>
    <t>Hutatma Chowk</t>
  </si>
  <si>
    <t>Veer Nariman Road, Mumbai 400 001, Mahārāshtra</t>
  </si>
  <si>
    <t>Coronation Cigar Factory</t>
  </si>
  <si>
    <t>63 Mahatma Gandhi Road (Near Kala Ghoda), Mumbai 400001, Mahārāshtra</t>
  </si>
  <si>
    <t>Jai Mata di juice centre</t>
  </si>
  <si>
    <t>Opposite Flora fountain, Mumbai, Mahārāshtra</t>
  </si>
  <si>
    <t>Flora Fountain</t>
  </si>
  <si>
    <t>Veer Nariman Road (D. N. Road, Fort), Mumbai 400001, Mahārāshtra</t>
  </si>
  <si>
    <t>Mahatma Gandhi Road (Homi Mody Street), Mumbai 400001, Mahārāshtra</t>
  </si>
  <si>
    <t>Churchgate</t>
  </si>
  <si>
    <t>Rameshwaram - Churchgate</t>
  </si>
  <si>
    <t>Jamshedji Tata Road, Mumbai 400020, Mahārāshtra</t>
  </si>
  <si>
    <t>Fountain Sizzlers Restaurant</t>
  </si>
  <si>
    <t>57 Mahatma Gandhi Road, Mumbai 400 023, Mahārāshtra</t>
  </si>
  <si>
    <t>Rajabai Clock Tower</t>
  </si>
  <si>
    <t>M.G Road, Mumbai 400 032, Mahārāshtra</t>
  </si>
  <si>
    <t>Kalaghoda Festival</t>
  </si>
  <si>
    <t>44 Tamarind Ln, Mahārāshtra</t>
  </si>
  <si>
    <t>Kitab Khana</t>
  </si>
  <si>
    <t>Flora Fountain, Mumbai 400001, Mahārāshtra</t>
  </si>
  <si>
    <t>Suryodaya</t>
  </si>
  <si>
    <t>Opp. Churchgate Station, Mumbai, Mahārāshtra</t>
  </si>
  <si>
    <t>Stadium Restaurant &amp; Stores</t>
  </si>
  <si>
    <t>Veer Nariman Road (Next to Vodafone Store, Churchgate), Mumbai 400023, Mahārāshtra</t>
  </si>
  <si>
    <t>Oval Maidan</t>
  </si>
  <si>
    <t>Maharshi Karve Rd, Mumbai 400020, Mahārāshtra</t>
  </si>
  <si>
    <t>Nandan Coffee</t>
  </si>
  <si>
    <t>Mumbai 400001, Mahārāshtra</t>
  </si>
  <si>
    <t>Zara</t>
  </si>
  <si>
    <t>Flora Fountain, Mumbai 400023, Mahārāshtra</t>
  </si>
  <si>
    <t>India Restaurant</t>
  </si>
  <si>
    <t>82, Janma Bhoomio Marg, (Fort), Mumbai 400001, Mahārāshtra</t>
  </si>
  <si>
    <t>The Karnatak Sports Association</t>
  </si>
  <si>
    <t>Karnatak Sports Centre, Cross Maidan, Mumbai, Mahārāshtra</t>
  </si>
  <si>
    <t>Mocking Bird Cafe &amp; Bar</t>
  </si>
  <si>
    <t>Next to Ambassador (Churchgate), Mumbai, Mahārāshtra</t>
  </si>
  <si>
    <t>Burger King</t>
  </si>
  <si>
    <t>Churchgate, Mumbai 400020, Mahārāshtra</t>
  </si>
  <si>
    <t>Oxford Bookstore</t>
  </si>
  <si>
    <t>3 Dinsha Vachha Road, Mumbai 400 020, Mahārāshtra</t>
  </si>
  <si>
    <t>Delhi Highway</t>
  </si>
  <si>
    <t>Mistry Mansion (M. G Road), Mumbai 400023, Mahārāshtra</t>
  </si>
  <si>
    <t>Cafe Military</t>
  </si>
  <si>
    <t>Near High Court (Flora Fountain), Mumbai, Mahārāshtra</t>
  </si>
  <si>
    <t>Cha Bar</t>
  </si>
  <si>
    <t>Oxford Book Store</t>
  </si>
  <si>
    <t>Indian Summer</t>
  </si>
  <si>
    <t>80 Veer Nariman Road, Mumbai 400 020, Mahārāshtra</t>
  </si>
  <si>
    <t>Volga Paan Wala</t>
  </si>
  <si>
    <t>Near hornimon circle, Fort (D N Road, Hutatama Chowk), Mumbai, Mahārāshtra</t>
  </si>
  <si>
    <t>The J</t>
  </si>
  <si>
    <t>The Local</t>
  </si>
  <si>
    <t>Currimjee Building, opp. Mumbai university, (Mahatma Gnadhi Road, Fort), Mumbai Maharashtra, Mahārāshtra</t>
  </si>
  <si>
    <t>Gaylord Restaurant</t>
  </si>
  <si>
    <t>V. N. Road (Churchgate), Mumbai 400 020, Mahārāshtra</t>
  </si>
  <si>
    <t>The Gaylord Bakeshop</t>
  </si>
  <si>
    <t>Churchgate, Mumbai, Mahārāshtra</t>
  </si>
  <si>
    <t>Mockingbird Cafe</t>
  </si>
  <si>
    <t>80 Veer Nariman Road, Church Gate, Mumbai, Mahārāshtra</t>
  </si>
  <si>
    <t>Globus @Khalagoda</t>
  </si>
  <si>
    <t>Samrat Veg Restaurant</t>
  </si>
  <si>
    <t>J. D. Tata Road, Mumbai 400 020, Mahārāshtra</t>
  </si>
  <si>
    <t>Crossroads92</t>
  </si>
  <si>
    <t>ShivSagar</t>
  </si>
  <si>
    <t>82 Veer Nariman Road, Nagin Mahal, Church Gate, Mumbai, Mahārāshtra</t>
  </si>
  <si>
    <t>theobroma</t>
  </si>
  <si>
    <t>Relish</t>
  </si>
  <si>
    <t>Prem Court, Dinshaw Walcha Road (Churchgate), Mumbai 400 020, Mahārāshtra</t>
  </si>
  <si>
    <t>Shiv Sagar</t>
  </si>
  <si>
    <t>Next to Mocha (Churchgate), Mumbai 400020, Mahārāshtra</t>
  </si>
  <si>
    <t>Vihar</t>
  </si>
  <si>
    <t>Near churchgate Station, Mumbai, Mahārāshtra</t>
  </si>
  <si>
    <t>The Cathedral &amp; John Connon Junior School</t>
  </si>
  <si>
    <t>Ground Floor, Kala Ghoda Fort, Mumbai 400001, Mahārāshtra</t>
  </si>
  <si>
    <t>Oh Dough</t>
  </si>
  <si>
    <t>Hind Rajasthan Chambers, (6 Allana Marg), Fort, Mumbai 400001, Maharshtra</t>
  </si>
  <si>
    <t>Mad Over Donuts</t>
  </si>
  <si>
    <t>Sahyadri</t>
  </si>
  <si>
    <t>Wok Express</t>
  </si>
  <si>
    <t>Shop 3, Ground Floor, Rajmahal Building, 84 Veer Nariman Road, Church Gate, Mumbai, Mahārāshtra</t>
  </si>
  <si>
    <t>K Rustoms Ice Cream</t>
  </si>
  <si>
    <t>Veer Nariman Rd, Mumbai 400020, Mahārāshtra</t>
  </si>
  <si>
    <t>The Society - The Ambassador</t>
  </si>
  <si>
    <t>V.N. Road, Churchgate (Mumbai), Mumbai 400020, Mahārāshtra</t>
  </si>
  <si>
    <t>The Dome</t>
  </si>
  <si>
    <t>The Intercontinental Marine Drive (135 Marine Drive), Mumbai 400020, Mahārāshtra</t>
  </si>
  <si>
    <t>Natural's Ice Cream Parlour</t>
  </si>
  <si>
    <t>Marine Drive, Mumbai 400020, Mahārāshtra</t>
  </si>
  <si>
    <t>Tbz</t>
  </si>
  <si>
    <t>Shop No 2, Sunder Mahal, 92, Veer Nariman Road, Mumbai, Mahārāshtra</t>
  </si>
  <si>
    <t>Mumbai Hockey Association Ground</t>
  </si>
  <si>
    <t>Dudh Nath Panwala</t>
  </si>
  <si>
    <t>137 Jyoti Sadan A Road, Beside Intercontinental Hotel, Church Gate, Mumbai, Mahārāshtra</t>
  </si>
  <si>
    <t>Kebab Korner</t>
  </si>
  <si>
    <t>The Intercontinental Marine Drive (135 Marine Drive), Mumbai 400 020, Mahārāshtra</t>
  </si>
  <si>
    <t>Long &amp; Short, The GastroBar</t>
  </si>
  <si>
    <t>Level 1, The InterContinental Marine Drive (135 Marine Drive), Mumbai 400020, Mahārāshtra</t>
  </si>
  <si>
    <t>Onyx</t>
  </si>
  <si>
    <t>Hotel Intercontinental (135 Marine Drive), Mumbai 400020, Mahārāshtra</t>
  </si>
  <si>
    <t>kebab corner inter cntinental</t>
  </si>
  <si>
    <t>Queen's Necklace</t>
  </si>
  <si>
    <t>Marine Drive, Mumbai, Mahārāshtra</t>
  </si>
  <si>
    <t>Bca Bar Lounge</t>
  </si>
  <si>
    <t>Garware Club House (D Road), Mumbai 400020, Mahārāshtra</t>
  </si>
  <si>
    <t>Marine Lines (Near Churchgate Station), Mumbai 400020, Mahārāshtra</t>
  </si>
  <si>
    <t>Sunderbai Hall</t>
  </si>
  <si>
    <t>Cross Maidan</t>
  </si>
  <si>
    <t>Mahatma Gandhi Road, Mumbai 400 001, Mahārāshtra</t>
  </si>
  <si>
    <t>Pizza By The Bay</t>
  </si>
  <si>
    <t>Marine Dr, Churchgate, Mumbai, Mahārāshtra</t>
  </si>
  <si>
    <t>Garware Club House</t>
  </si>
  <si>
    <t>D Road, Wankhede Stadium (Marine Drive), Mumbai 400020, Mahārāshtra</t>
  </si>
  <si>
    <t>Brabourne Stadium</t>
  </si>
  <si>
    <t>Dinshaw Vachha Road, Mumbai 400 020, Mahārāshtra</t>
  </si>
  <si>
    <t>Wet Wicket Bar</t>
  </si>
  <si>
    <t>Cricket Club of India (Churchgate), Mumbai 400020, Mahārāshtra</t>
  </si>
  <si>
    <t>Voodoo</t>
  </si>
  <si>
    <t>Apollo Bunder, Mumbai, Mahārāshtra</t>
  </si>
  <si>
    <t>Fashion Street</t>
  </si>
  <si>
    <t>All Rounder</t>
  </si>
  <si>
    <t>CCI</t>
  </si>
  <si>
    <t>Khao Galli</t>
  </si>
  <si>
    <t>Hindu Gymkhana</t>
  </si>
  <si>
    <t>near marine lines station (marine lines), Mumbai, Mahārāshtra</t>
  </si>
  <si>
    <t>Marine Lines</t>
  </si>
  <si>
    <t>Kapoor Kulfi</t>
  </si>
  <si>
    <t>75/D, Shree Kant Palekar Marg, Chandanwadi, Mumbai, Mahārāshtra</t>
  </si>
  <si>
    <t>Parsee Gymkhana</t>
  </si>
  <si>
    <t>D Mullah Marg, Mumbai 400 002, Mahārāshtra</t>
  </si>
  <si>
    <t>5 Spice</t>
  </si>
  <si>
    <t>Marine Lines, Mumbai, Mahārāshtra</t>
  </si>
  <si>
    <t>Princess street (Next to parsi dairy), Mumbai 400002, Mahārāshtra</t>
  </si>
  <si>
    <t>Shroff Eye Clinic</t>
  </si>
  <si>
    <t>Gobind Mahal, 86 B Marine Drive (G Road), Mumbai, Mahārāshtra</t>
  </si>
  <si>
    <t>Little Italy's La Pizzeria</t>
  </si>
  <si>
    <t>Ground Floor, Block No. 5, Shalimar Building, 91 G, Mumbai 400020, Mahārāshtra</t>
  </si>
  <si>
    <t>P.M.Sanghvi &amp; Co Jewellers</t>
  </si>
  <si>
    <t>540-A JSS Road (Chira Bazar), Mumbai 400002, Mahārāshtra</t>
  </si>
  <si>
    <t>Bhimji Bone Setter</t>
  </si>
  <si>
    <t>Princess Street, Mumbai, Mahārāshtra</t>
  </si>
  <si>
    <t>Jyoti Veg Restaurant</t>
  </si>
  <si>
    <t>khodadad circle (dadar TT), Mumbai 400014, Mahārāshtra</t>
  </si>
  <si>
    <t>Dadar</t>
  </si>
  <si>
    <t>Shop No 11 And 12, Empress Mahal, C-170, Dr Ambedkar Road, Dadar Tt, Khodadad Circle, Dadar East, Mumbai, Mahārāshtra</t>
  </si>
  <si>
    <t>Pritam Da Dhaba</t>
  </si>
  <si>
    <t>Dr. Ambedkar Road, Dadar (East), Mumbai 400014, Mahārāshtra</t>
  </si>
  <si>
    <t>Grandmama's Café</t>
  </si>
  <si>
    <t>Next To Pritam (Off BA road), Mumbai 400014, Mahārāshtra</t>
  </si>
  <si>
    <t>Swami Gyan Jivandas Marg (Dr Ambedkar Marg), Mumbai 400014, Mahārāshtra</t>
  </si>
  <si>
    <t>Hotel Midtown Pritam</t>
  </si>
  <si>
    <t>Dharam Putra, Dadar TT Cir, Dadar East, Dadar, Mumbai 400014, Mahārāshtra</t>
  </si>
  <si>
    <t>G.S.B. Sarvajanik Ganeshotsav Mandal, Wadala</t>
  </si>
  <si>
    <t>Katrak Road (Wadala), Mumbai, Mahārāshtra</t>
  </si>
  <si>
    <t>Kohinoor Electronics Dadar</t>
  </si>
  <si>
    <t>Opp Dadar Fire Brigade (Station Road), Mumbai 400014, Mahārāshtra</t>
  </si>
  <si>
    <t>Parag Juice Center</t>
  </si>
  <si>
    <t>Circle, Dadar West, Mumbai, Maharashtra (Dadar (West)), Mumbai, Mahārāshtra</t>
  </si>
  <si>
    <t>Mandir devi</t>
  </si>
  <si>
    <t>Art Gallery</t>
  </si>
  <si>
    <t>Dadar TT</t>
  </si>
  <si>
    <t>Mahārāshtra</t>
  </si>
  <si>
    <t>Time Watchmakers</t>
  </si>
  <si>
    <t>D-14 Empire Mahal, Khodadad Circle (Dadar T.T.), Mumbai 400014, Mahārāshtra</t>
  </si>
  <si>
    <t>D. Damodar Mithaiwala</t>
  </si>
  <si>
    <t>Khodadad Circle, Mumbai 400 014, Mahārāshtra</t>
  </si>
  <si>
    <t>Cafe Colony Stores</t>
  </si>
  <si>
    <t>Hindu Colony</t>
  </si>
  <si>
    <t>Shinde Masala Mart</t>
  </si>
  <si>
    <t>Wadala</t>
  </si>
  <si>
    <t>Flarepath</t>
  </si>
  <si>
    <t>Wadala Udyog Bhavan, Mumbai 400031, Mahārāshtra</t>
  </si>
  <si>
    <t>Punjabi Tadka</t>
  </si>
  <si>
    <t>opp Swami Narayan Mandir, Dadar east, Mumbai 400014, Mahārāshtra</t>
  </si>
  <si>
    <t>Great punjab restaurant</t>
  </si>
  <si>
    <t>186 prakash mansion (Dadar E), Mumbai 400014, Mahārāshtra</t>
  </si>
  <si>
    <t>Nico hall</t>
  </si>
  <si>
    <t>Road No 26, Dadar East, Mumbai, Mahārāshtra</t>
  </si>
  <si>
    <t>Nuetron (Blackberry Service Center)</t>
  </si>
  <si>
    <t>Fumes</t>
  </si>
  <si>
    <t>MMG Sangrahalaya Marg, Dadar West, Mumbai, Mahārāshtra</t>
  </si>
  <si>
    <t>The Rolling Pin</t>
  </si>
  <si>
    <t>Lower Parel</t>
  </si>
  <si>
    <t>SpiceKlub</t>
  </si>
  <si>
    <t>8A, Janta Industrial Estate, Opposite Phoenix Mills, Senapati Bapat Road (Lower Parel), Mumbai, Mahārāshtra</t>
  </si>
  <si>
    <t>Quattro Ristorante</t>
  </si>
  <si>
    <t>7, Janta Industrial Estate, Opp. High Street Phoenix (Senapati Bapat Marg, Lower Parel), Mumbai 400013, Mahārāshtra</t>
  </si>
  <si>
    <t>Barista</t>
  </si>
  <si>
    <t>Phoenix Mills, Lower Parel, Mumbai, Mahārāshtra</t>
  </si>
  <si>
    <t>Ithaka</t>
  </si>
  <si>
    <t>Above Riso (Opposite Phoenix Mills, lower Parel), Mumbai, Mahārāshtra</t>
  </si>
  <si>
    <t>ZARA</t>
  </si>
  <si>
    <t>Palladium Mall , High Street Phoenix (Phoenix Mills Compound, Lower Parel), Mumbai 400013, Mahārāshtra</t>
  </si>
  <si>
    <t>Skyzone Mall</t>
  </si>
  <si>
    <t>Senapati Bapat Marg (Lower Parel), Mumbai, Mahārāshtra</t>
  </si>
  <si>
    <t>The Irish House</t>
  </si>
  <si>
    <t>High Street Phoenix (Lower Parel, Senapati Bapat Marg), Mumbai 400013, Mahārāshtra</t>
  </si>
  <si>
    <t>Burberry</t>
  </si>
  <si>
    <t>Palladium Mall, 462 Senapati Bapat Marg, Mumbai 400013, Mahārāshtra</t>
  </si>
  <si>
    <t>The Collective</t>
  </si>
  <si>
    <t>The Collective, Palladium Mall, Level 2 &amp; 3, High Street Phoenix (Senapati Bapat Marg, Lower Parel), Mumbai 400013, Mahārāshtra</t>
  </si>
  <si>
    <t>Riso</t>
  </si>
  <si>
    <t>Gala 1, Sb Road, Lower Parel, Mumbai, Mahārāshtra</t>
  </si>
  <si>
    <t>Punjab Grill</t>
  </si>
  <si>
    <t>Palladium Mall (Senapati Bapat Road), Mumbai 400013, Mahārāshtra</t>
  </si>
  <si>
    <t>Diesel Store</t>
  </si>
  <si>
    <t>G14-15, Palladium, High Street Pheonix, (642 Senapati Bapat Marg), Mumbai 400013, Mahārāshtra</t>
  </si>
  <si>
    <t>ALDO</t>
  </si>
  <si>
    <t>Palladium Mall, Pheonix Mill Compound (Senapati Bapat Marg, Lower Parel (West)), Mumbai 400013, Mahārāshtra</t>
  </si>
  <si>
    <t>Gelato Italiano</t>
  </si>
  <si>
    <t>Ground Floor, Skyzone, High Street Phoenix (Senapati Bapat Road, Lower Parel), Mumbai 400013, Mahārāshtra</t>
  </si>
  <si>
    <t>Palladium</t>
  </si>
  <si>
    <t>High Street Phoenix, (Senapati Bapat Marg,), Mumbai 400013, Mahārāshtra</t>
  </si>
  <si>
    <t>The Coffee Bean &amp; Tea Leaf</t>
  </si>
  <si>
    <t>G-22/23, Skyzone,Phoenix Mills Compound, Lower Parel. (High Street Phoenix, Lower Parel), Mumbai 400013, Mahārāshtra</t>
  </si>
  <si>
    <t>Chemistry</t>
  </si>
  <si>
    <t>Palladium Mall, Third Level, High Street Phoenix, 462, Senapati Bapat Marg, Lower Parel West, Mumbai, Mahārāshtra</t>
  </si>
  <si>
    <t>High Street Phoenix</t>
  </si>
  <si>
    <t>Senapati Bapat Marg (Lower Parel), Mumbai 400013, Mahārāshtra</t>
  </si>
  <si>
    <t>Gajalee Sea Food @ Phoenix Mills</t>
  </si>
  <si>
    <t>High Street Pheonix (Lower Parel), Mumbai 400013, Mahārāshtra</t>
  </si>
  <si>
    <t>Om Bookshop</t>
  </si>
  <si>
    <t>Gr Floor - Grand Galleria (Phoenix Mills), Mumbai, Mahārāshtra</t>
  </si>
  <si>
    <t>Tryst</t>
  </si>
  <si>
    <t>1st Floor, High Street Phoenix (Senapati Bapat Marg, Lower Parel,), Mumbai 400013, Mahārāshtra</t>
  </si>
  <si>
    <t>Canvas Laugh Club</t>
  </si>
  <si>
    <t>Palladium, 3rd Flr., High Street Phoenix (Senapati Bapat Marg, Lower Parel), Mumbai 400013, Mahārāshtra</t>
  </si>
  <si>
    <t>British Brewing Company</t>
  </si>
  <si>
    <t>4th Floor, Palladium, Phoenix (Lower Parel), Mumbai, Mahārāshtra</t>
  </si>
  <si>
    <t>Smoke House Deli</t>
  </si>
  <si>
    <t>Shop No. C-90G, Main Courtyard, High Street Phoenix, Phoenix Mills Compound (Tulsi Pipe Rd), Mumbai 400013, Mahārāshtra</t>
  </si>
  <si>
    <t>Hamleys</t>
  </si>
  <si>
    <t>Block 17, Courtyard Area, Phoenix Mills (Tulsi Pipe Road, Lower Parel), Mumbai 400013, Mahārāshtra</t>
  </si>
  <si>
    <t>Seven Kitchens</t>
  </si>
  <si>
    <t>462, Senapati Bapat Marg, Mumbai 400013, Mahārāshtra</t>
  </si>
  <si>
    <t>Mainland china asia kitchen</t>
  </si>
  <si>
    <t>Palladium Mall, Mumbai, Mahārāshtra</t>
  </si>
  <si>
    <t>Marks and Spencer</t>
  </si>
  <si>
    <t>Phoenix Mills (Lower Parel), Mumbai, Mahārāshtra</t>
  </si>
  <si>
    <t>Skyzone, High Street Phoenix, Lower Parel (Senapati Bapat Marg, Lower Parel), Mumbai 400013, Mahārāshtra</t>
  </si>
  <si>
    <t>Foodhall</t>
  </si>
  <si>
    <t>3rd Floor, Palladium Mall, Lower Parel, Mumbai 400013, Mahārāshtra</t>
  </si>
  <si>
    <t>Cream Centre</t>
  </si>
  <si>
    <t>Phoenix Mills (Lower Parel), Mumbai 400013, Mahārāshtra</t>
  </si>
  <si>
    <t>PA PA YA</t>
  </si>
  <si>
    <t>Level 3, Palladium Mall, Senapati Bapat Marg, Lower Parel, Lower Parel, Mumbai, Maharashtra 400013, Mumbai, Mahārāshtra</t>
  </si>
  <si>
    <t>Maroosh</t>
  </si>
  <si>
    <t>Phoenix Mills, Senapati Bapat Marg (Senapati Bapat Marg), Mumbai 400013, Mahārāshtra</t>
  </si>
  <si>
    <t>Palladium Social</t>
  </si>
  <si>
    <t>Level 3, Palladium Mall (Senapati Baat Marg), Mumbai 400012, Mahārāshtra</t>
  </si>
  <si>
    <t>Punjab Grill by Jiggs Kalra</t>
  </si>
  <si>
    <t>Palladium, Phoenix Mills (N.M. Joshi marg, Parel), Mumbai, Mahārāshtra</t>
  </si>
  <si>
    <t>H&amp;M</t>
  </si>
  <si>
    <t>High Street Phoenix, Mumbai 400013, Mahārāshtra</t>
  </si>
  <si>
    <t>Francesco's Pizzeria</t>
  </si>
  <si>
    <t>Grand Galleria</t>
  </si>
  <si>
    <t>Phoenix Mills (Senapati Bapat Marg. Lower Parel), Mumbai 400013, Mahārāshtra</t>
  </si>
  <si>
    <t>EXO Bar</t>
  </si>
  <si>
    <t>462, S B Marg, Lower Parel, (Phoenix Mills.), Mumbai 400013, Mahārāshtra</t>
  </si>
  <si>
    <t>Asilo - St. Regis</t>
  </si>
  <si>
    <t>The Sahib Room &amp; Kipling Bar</t>
  </si>
  <si>
    <t>The Palladium Hotel (462 Senapati Bapat Marg, Lower Parel), Mumbai 400013, Mahārāshtra</t>
  </si>
  <si>
    <t>Francesco's</t>
  </si>
  <si>
    <t>Yuuka by Ting Yen</t>
  </si>
  <si>
    <t>Level 37, Palladium Hotel (462 Senapati Bapat Marg, Lower Parel), Mumbai 400013, Mahārāshtra</t>
  </si>
  <si>
    <t>Mekong</t>
  </si>
  <si>
    <t>The St. Regis Mumbai (Lower Parel), Mumbai, Mahārāshtra</t>
  </si>
  <si>
    <t>Li Bai - St. Regis</t>
  </si>
  <si>
    <t>Indigo Delicatessen</t>
  </si>
  <si>
    <t>1st Flr., Palladium, High Street Phoenix (Senapati Bapat Marg, Lower Parel), Mumbai 400013, Mahārāshtra</t>
  </si>
  <si>
    <t>Trupti</t>
  </si>
  <si>
    <t>12B, High Street Phoenix (Senapati Bapat Marg Lower Parel), Mumbai 4000013, Mahārāshtra</t>
  </si>
  <si>
    <t>Lifestyle @ Skyzone</t>
  </si>
  <si>
    <t>Phoenix Mills, Lower Parel (Tulsi Pipe Road), Mumbai, Mahārāshtra</t>
  </si>
  <si>
    <t>Lemon Leaf</t>
  </si>
  <si>
    <t>Comet Building, Mumbai, Mahārāshtra</t>
  </si>
  <si>
    <t>Bandra West</t>
  </si>
  <si>
    <t>Turner Road</t>
  </si>
  <si>
    <t>Pagal Pan Bhandar</t>
  </si>
  <si>
    <t>Turner Road (Turner Road, Opposite Lemongrass Restaurant), Mumbai 400050, Mahārāshtra</t>
  </si>
  <si>
    <t>Sahibaan</t>
  </si>
  <si>
    <t>Turner Road, Mumbai 400 050, Mahārāshtra</t>
  </si>
  <si>
    <t>Tiffins</t>
  </si>
  <si>
    <t>Guru nanak marg, Mumbai 400050, Mahārāshtra</t>
  </si>
  <si>
    <t>145 Bandra</t>
  </si>
  <si>
    <t>Hsbc Building, Off Turner Road, Pali Hill, Bandra West, Mumbai, Mahārāshtra</t>
  </si>
  <si>
    <t>The Bandra Project</t>
  </si>
  <si>
    <t>C 534A, Ground Floor, Hsbc Building, Dr Ambedkar Road, Pali Hill, Bandra West, Mumbai 400050, Mahārāshtra</t>
  </si>
  <si>
    <t>Sweetish House Mafia</t>
  </si>
  <si>
    <t>Shop No.3, Building No.42, Matruchaya, New Link Road, Oshiwara, Mumbai, Mahārāshtra</t>
  </si>
  <si>
    <t>Five Spice Restaurant</t>
  </si>
  <si>
    <t>Bandra (West) (Pali Naka), Mumbai City district, Mahārāshtra</t>
  </si>
  <si>
    <t>Burrito Factory</t>
  </si>
  <si>
    <t>Shakti Raj Chs, 6, Pali Road, Pali Hill, Bandra West, Mumbai, Mahārāshtra</t>
  </si>
  <si>
    <t>Candylicious The Candy Bouquet Shop</t>
  </si>
  <si>
    <t>Bandra (W) (Perry Cross Road), Mumbai, Mahārāshtra</t>
  </si>
  <si>
    <t>BuSaGo</t>
  </si>
  <si>
    <t>Pali Hill, Mumbai, Mahārāshtra</t>
  </si>
  <si>
    <t>Papa Pancho Da Dhaba</t>
  </si>
  <si>
    <t>Johns Street Dr Ambedkar Road, Mumbai 400 050, Mahārāshtra</t>
  </si>
  <si>
    <t>Kitchen Garden by Suzette</t>
  </si>
  <si>
    <t>Pali Naka (Bandra West), Opp Golds Gym, Mahārāshtra</t>
  </si>
  <si>
    <t>Joseph Cold Storage</t>
  </si>
  <si>
    <t>Suzette</t>
  </si>
  <si>
    <t>St John Street, Opp Golds Gym, Pali Naka, Bandra West St John St, Pali Hill, Mumbai (Dr. Ambedkar Road), Mumbai 400050, Mahārāshtra</t>
  </si>
  <si>
    <t>Javaphile</t>
  </si>
  <si>
    <t>St John’s Road (St Alexious Road), Mumbai 400050, Mahārāshtra</t>
  </si>
  <si>
    <t>7, A-Wing, Gasper Enclave (Pali Naka, Pali Hill), Mumbai 400050, Mahārāshtra</t>
  </si>
  <si>
    <t>Mac Craig</t>
  </si>
  <si>
    <t>Pali, Mumbai, Mahārāshtra</t>
  </si>
  <si>
    <t>Crossword</t>
  </si>
  <si>
    <t>Bandra West (Turner Road), Mumbai 400101, Mahārāshtra</t>
  </si>
  <si>
    <t>Indigo Deli</t>
  </si>
  <si>
    <t>Pali Hill (Bandra), Mumbai, Mahārāshtra</t>
  </si>
  <si>
    <t>The Boston Butt</t>
  </si>
  <si>
    <t>Palinaka, มุมไบ 400050, มหาราษฏระ</t>
  </si>
  <si>
    <t>Jai hind</t>
  </si>
  <si>
    <t>Rotunda - The Center For Human Reproduction</t>
  </si>
  <si>
    <t>36, Turner Road, Bandra West, Mumbai, Mahārāshtra</t>
  </si>
  <si>
    <t>Kitchen Garden</t>
  </si>
  <si>
    <t>Gasper Enclave (St John Street, Bandra), Mumbai 400050, Mahārāshtra</t>
  </si>
  <si>
    <t>Bagelwala!</t>
  </si>
  <si>
    <t>Crowne Palace, Near Tarun Tahiliani Sore (Off Turner Rd, Bandra), Mumbai 400050, Mahārāshtra</t>
  </si>
  <si>
    <t>Pixion Studio Smoke 8</t>
  </si>
  <si>
    <t>Pali Village Café</t>
  </si>
  <si>
    <t>602 Ambedkar Road, near Janta, Pali Naka (Bandra), Mumbai 400050, Mahārāshtra</t>
  </si>
  <si>
    <t>Pali Bhavan</t>
  </si>
  <si>
    <t>10, Adarsh Nagar, Pali Naka, Near Costa Coffee (Bandra), Mumbai 400050, Mahārāshtra</t>
  </si>
  <si>
    <t>Chantilly</t>
  </si>
  <si>
    <t>Shop. 6, Shaktiraj CHS, Mumbai 400050, Mahārāshtra</t>
  </si>
  <si>
    <t>Tavaa, bandra west</t>
  </si>
  <si>
    <t>Saqib, Junction Of 24th Turner Road, Bandra (W), Mumbai, Mahārāshtra</t>
  </si>
  <si>
    <t>Modern Stores &amp; Medicals</t>
  </si>
  <si>
    <t>Pali Market, Bandra (West) (Pali Mala Road), Mumbai 400050, Mahārāshtra</t>
  </si>
  <si>
    <t>Almeida Park</t>
  </si>
  <si>
    <t>Bandra West, Mumbai, Mahārāshtra</t>
  </si>
  <si>
    <t>De Monte Park</t>
  </si>
  <si>
    <t>St Andrews Road, Bandra West, Mumbai, Mahārāshtra</t>
  </si>
  <si>
    <t>Toto’s Garage</t>
  </si>
  <si>
    <t>7/8, Lourdes Haven Apts, Pali Naka, (Bandra West,), Mumbai 400050, Mahārāshtra</t>
  </si>
  <si>
    <t>Poco Loco</t>
  </si>
  <si>
    <t>5 Lourdes Haven, Bandra West, Mumbai, Mahārāshtra</t>
  </si>
  <si>
    <t>Sante</t>
  </si>
  <si>
    <t>Pali Market (Bandra West), Mumbai, Mahārāshtra</t>
  </si>
  <si>
    <t>Five Spice</t>
  </si>
  <si>
    <t>Cafe Andora</t>
  </si>
  <si>
    <t>Punjab Sweet House And Restaurant</t>
  </si>
  <si>
    <t>pali naka (bandra west), Mumbai, Mahārāshtra</t>
  </si>
  <si>
    <t>pack a pav</t>
  </si>
  <si>
    <t>Shop Number 2, St Andrews Road, Bandra West, Mumbai, Mahārāshtra</t>
  </si>
  <si>
    <t>Naturals Ice Cream</t>
  </si>
  <si>
    <t>near Holy Family Hospital, Mumbai, Mahārāshtra</t>
  </si>
  <si>
    <t>Snack Shack</t>
  </si>
  <si>
    <t>Lourdes Haven, Shop No. 2 (Pali Junction, Bandra), Mumbai, Mahārāshtra</t>
  </si>
  <si>
    <t>Shyam Kunj, 16th Road, Pali Naka (Bandra), Mumbai 400052, Mahārāshtra</t>
  </si>
  <si>
    <t>High On Tea</t>
  </si>
  <si>
    <t>Shop No 5, Luis Belle Building, Corner Of 30 .And16th Road, Pali Village, Bandra West, Mumbai 400050, Mahārāshtra</t>
  </si>
  <si>
    <t>Shree Sagar Veg Restaurant</t>
  </si>
  <si>
    <t>Pronto on the Move</t>
  </si>
  <si>
    <t>16th Road (Bandra), Mumbai, Mahārāshtra</t>
  </si>
  <si>
    <t>Marry Me - The Store</t>
  </si>
  <si>
    <t>5AA, Pali Hill, Above Candies (Near Learners Academy, Bandra West), Mumbai 400050, Mahārāshtra</t>
  </si>
  <si>
    <t>A Chocolate Affair</t>
  </si>
  <si>
    <t>Pali Hill Naka (Bandra), Mumbai, Mahārāshtra</t>
  </si>
  <si>
    <t>Candies</t>
  </si>
  <si>
    <t>Union Park, Pali Hill (St. Andrews Rd.), Mumbai 400050, Mahārāshtra</t>
  </si>
  <si>
    <t>Regional Passport Office New</t>
  </si>
  <si>
    <t>Videsh Bhavan, Bandra Kurla Complex, Plot No. C-45, G Block, Bandra (East), Mumbai, Mumbai 400051, Mahārāshtra</t>
  </si>
  <si>
    <t>Bandra Kurla Complex</t>
  </si>
  <si>
    <t>Studio Theatre</t>
  </si>
  <si>
    <t>Studio Theatre, 1st and Ground Floor, (NMACC, BKC, Bandra East), Mumbai 400051, Mahārāshtra</t>
  </si>
  <si>
    <t>Grand Theatre</t>
  </si>
  <si>
    <t>Grand Theatre, NMACC, (Bandra Kyrla Complex), Mumbai 400051, Mahārāshtra</t>
  </si>
  <si>
    <t>Ladurée</t>
  </si>
  <si>
    <t>Mumbai 400051, Mahārāshtra</t>
  </si>
  <si>
    <t>Bombay Blue</t>
  </si>
  <si>
    <t>Off Linking Road (Bandra (West)), Mumbai, Mahārāshtra</t>
  </si>
  <si>
    <t>Parinee Crescenzo</t>
  </si>
  <si>
    <t>Behind MCA, BKC (Opp MCA), Mumbai 400051, Mahārāshtra</t>
  </si>
  <si>
    <t>Parinee Creacenzo Building (G-Block, Bandra Kurla Complex), Mumbai 400051, Mahārāshtra</t>
  </si>
  <si>
    <t>Tennis Courts @ MCA</t>
  </si>
  <si>
    <t>Origami</t>
  </si>
  <si>
    <t>Maison Inox</t>
  </si>
  <si>
    <t>O22 Trident</t>
  </si>
  <si>
    <t>Trident Hotel, Bandra (Bandra Kurla Complex, Bandra (E)), Mumbai 400098, Mahārāshtra</t>
  </si>
  <si>
    <t>O22</t>
  </si>
  <si>
    <t>C-56, G Block, Bandra Kurla Complex, Mumbai 400051, Mahārāshtra</t>
  </si>
  <si>
    <t>Botticino - Trident Hotel</t>
  </si>
  <si>
    <t>Bandar Kurla Complex (Trident Hotel), Mumbai, Mahārāshtra</t>
  </si>
  <si>
    <t>Trident Patisserie and Delicatessen</t>
  </si>
  <si>
    <t>C-56, G Block, Trident Road, Bandra Kurla Complex, Bandra East, Mumbai, Mahārāshtra</t>
  </si>
  <si>
    <t>Maya</t>
  </si>
  <si>
    <t>Trident (BKC), Mumbai, Mahārāshtra</t>
  </si>
  <si>
    <t>MCA Club Bar</t>
  </si>
  <si>
    <t>RG Block 2, Mumbai, Mahārāshtra</t>
  </si>
  <si>
    <t>MCA Indoor Academy</t>
  </si>
  <si>
    <t>Bandra Kurla Complex, Mumbai, Mahārāshtra</t>
  </si>
  <si>
    <t>Pavilion</t>
  </si>
  <si>
    <t>MCA Club (Bandra kurla), Mumbai, Mahārāshtra</t>
  </si>
  <si>
    <t>Oriental Swing @ MCA</t>
  </si>
  <si>
    <t>RG-2, G-Block, Bandra Kurla Complex, Bandra East, Mumbai 400051, Mahārāshtra</t>
  </si>
  <si>
    <t>Western Willow</t>
  </si>
  <si>
    <t>Kotak Mahindra Bank Ltd (27BKC)</t>
  </si>
  <si>
    <t>27 Bandra Kurla Complex (BKC road), Mumbai 400051, Mahārāshtra</t>
  </si>
  <si>
    <t>Poolside @ MCA</t>
  </si>
  <si>
    <t>BKC, Mahārāshtra</t>
  </si>
  <si>
    <t>Ten Downing Street</t>
  </si>
  <si>
    <t>4-5012, Trident Road (Bkc, Bandra East), Mumbai 400051, Mahārāshtra</t>
  </si>
  <si>
    <t>Tuskers</t>
  </si>
  <si>
    <t>ARTISAN</t>
  </si>
  <si>
    <t>Lobby Area SOFITEL MUMBAI BKC (C 57 Block G, Bandra Kurla Complex), Mumbai 400 098, Mahārāshtra</t>
  </si>
  <si>
    <t>Chaayos</t>
  </si>
  <si>
    <t>Le Bar Diamantaire</t>
  </si>
  <si>
    <t>BKC (Sofitel), Mumbai, Mahārāshtra</t>
  </si>
  <si>
    <t>Pondicherry - SOFITEL</t>
  </si>
  <si>
    <t>C57 (Block G BKC), Mumbai, Mahārāshtra</t>
  </si>
  <si>
    <t>MCA Squash Courts</t>
  </si>
  <si>
    <t>Telli galli mosque</t>
  </si>
  <si>
    <t>Andheri East</t>
  </si>
  <si>
    <t>Chatwani Banquets</t>
  </si>
  <si>
    <t>Andheri Station Walk</t>
  </si>
  <si>
    <t>Crescent Plaza.</t>
  </si>
  <si>
    <t>Umarji House, Crescent Plaza Annex, Andheri East, Telli Lane, Maharashtra 400069 (Telli Lane), Mumbai 400069, Mahārāshtra</t>
  </si>
  <si>
    <t>Brijwasi</t>
  </si>
  <si>
    <t>M.V. Rd, Azad Nagar, Andheri East, Mumbai, Mahārāshtra</t>
  </si>
  <si>
    <t>Junker's Bunker</t>
  </si>
  <si>
    <t>Opp Vishal Hall, Andheri Kurla Road, Mumbai 400069, Mahārāshtra</t>
  </si>
  <si>
    <t>Ramesh More Udyan</t>
  </si>
  <si>
    <t>Sukanya</t>
  </si>
  <si>
    <t>14, Gopal Bhavan, Opposite Vaikunt Park (Azad Rd), Mumbai 400069, Mahārāshtra</t>
  </si>
  <si>
    <t>Sai baba temple</t>
  </si>
  <si>
    <t>Telli galli, Mumbai 400069, 400069</t>
  </si>
  <si>
    <t>Hell</t>
  </si>
  <si>
    <t>Andheri E, Mumbai, Mahārāshtra</t>
  </si>
  <si>
    <t>Sydewok</t>
  </si>
  <si>
    <t>N.S. Phadke Road, Mumbai 400 069, Mahārāshtra</t>
  </si>
  <si>
    <t>McDonald's</t>
  </si>
  <si>
    <t>Hubtown solaris</t>
  </si>
  <si>
    <t>Gem Dresswalla Pvt Ltd</t>
  </si>
  <si>
    <t>1, Moonlight Shopping Centre, Near Vishal Hall, Mumbai, Mahārāshtra</t>
  </si>
  <si>
    <t>Café Downunder</t>
  </si>
  <si>
    <t>Ground Floor, Hubtown Solaris, (NS Phadke Marg, Andheri East), Mumbai 400069, Mahārāshtra</t>
  </si>
  <si>
    <t>Vaibhav Restaurant</t>
  </si>
  <si>
    <t>Andheri (E), Mumbai City district 400069, Mahārāshtra</t>
  </si>
  <si>
    <t>Havmor Ice-cream Parlor</t>
  </si>
  <si>
    <t>Azad Road, Mumbai, Mahārāshtra</t>
  </si>
  <si>
    <t>Andheri East (Andheri Railway Station), Mumbai 400099, Mahārāshtra</t>
  </si>
  <si>
    <t>Domino's Pizza</t>
  </si>
  <si>
    <t>Shop No. 6, Ground Floor, Hubtown Solaris, N. S. Phadke Marg, Near East West Flyover, Andheri East, Mumbai - 400069 Phone, Mumbai 400069, Mahārāshtra</t>
  </si>
  <si>
    <t>A to Z</t>
  </si>
  <si>
    <t>near Andheri station, Andheri east, Mahārāshtra</t>
  </si>
  <si>
    <t>Aarsa Hotel</t>
  </si>
  <si>
    <t>Anupam stationary</t>
  </si>
  <si>
    <t>Talli's terrace</t>
  </si>
  <si>
    <t>Akruti</t>
  </si>
  <si>
    <t>Saiwadi, Mumbai, Mahārāshtra</t>
  </si>
  <si>
    <t>BMC K ward (East)</t>
  </si>
  <si>
    <t>Azad Rd. (Andheri (E)), Mumbai, Mahārāshtra</t>
  </si>
  <si>
    <t>Kamgar Kalyan Bhavan</t>
  </si>
  <si>
    <t>Gundevi, Andheri East, Mumbai, Mahārāshtra</t>
  </si>
  <si>
    <t>Tapri Chai</t>
  </si>
  <si>
    <t>Gokhale Bridge</t>
  </si>
  <si>
    <t>Andheri W, Mumbai, Mahārāshtra</t>
  </si>
  <si>
    <t>Sanjeevani Hospital</t>
  </si>
  <si>
    <t>Station Road, Andheri East, Mumbai, Mahārāshtra</t>
  </si>
  <si>
    <t>349 Business Point</t>
  </si>
  <si>
    <t>Regency</t>
  </si>
  <si>
    <t>Prof N S Phadke Marg, Mumbai 400 069, Mahārāshtra</t>
  </si>
  <si>
    <t>Versova,Andheri</t>
  </si>
  <si>
    <t>andheri police station</t>
  </si>
  <si>
    <t>Andheri East, Mumbai, Mahārāshtra</t>
  </si>
  <si>
    <t>Merchant House - Nikhils Kitchen</t>
  </si>
  <si>
    <t>400069, Mahārāshtra</t>
  </si>
  <si>
    <t>Phoolwala- Mumbai Flower Delivery Partner Florist</t>
  </si>
  <si>
    <t>Shop no-4, Azad Road, Near milton apartment Juhu Koliwada, Azad Nagar Santacruz West, Mumbai 400049, Mahārāshtra</t>
  </si>
  <si>
    <t>Canon India Pvt. Ltd.</t>
  </si>
  <si>
    <t>Natraj Bldg (Andheri Kurla Road), Mumbai, Mahārāshtra</t>
  </si>
  <si>
    <t>Divya Sagar Wine Shop</t>
  </si>
  <si>
    <t>Narayan Sandwich</t>
  </si>
  <si>
    <t>Near Chinai College (Nagardas Road), Mumbai 400069, Mahrashtra</t>
  </si>
  <si>
    <t>Kino's Cottage</t>
  </si>
  <si>
    <t>JP Road, Seven Bungalows, next to Icici Bank (Oshiwara), Andheri West 400058, Mahārāshtra</t>
  </si>
  <si>
    <t>Andheri West</t>
  </si>
  <si>
    <t>Dimsum &amp; More</t>
  </si>
  <si>
    <t>Gold Crown Building (JP Road, Andheri), Mumbai, Mahārāshtra</t>
  </si>
  <si>
    <t>Sancha Ice Creams</t>
  </si>
  <si>
    <t>fantasy apartments, picnic cottage (7 bungalows, versova, andheri (west)), Mumbai 400061, Mahārāshtra</t>
  </si>
  <si>
    <t>fresh healthy cafe</t>
  </si>
  <si>
    <t>7 Bungalows, Mumbai 400061, Mahārāshtra</t>
  </si>
  <si>
    <t>Natural's</t>
  </si>
  <si>
    <t>Versova</t>
  </si>
  <si>
    <t>Havmor</t>
  </si>
  <si>
    <t>Opposite MTNL office, SV Road, Jogeshwari West, Mumbai, Mahārāshtra</t>
  </si>
  <si>
    <t>The House</t>
  </si>
  <si>
    <t>d-mart (yari Road)</t>
  </si>
  <si>
    <t>Cake Tree</t>
  </si>
  <si>
    <t>iVY</t>
  </si>
  <si>
    <t>JP Road Arham Nagar (7 Bungalows, Versova), Mumbai, Mahārāshtra</t>
  </si>
  <si>
    <t>Ground Floor, Rajnigandha Building New Link Road  Andheri West, Mumbai, Mahārāshtra</t>
  </si>
  <si>
    <t>Tea Villa Cafe Versova</t>
  </si>
  <si>
    <t>28, Aaram Nagar 1 (Opposite Darya Mahal, Versova), Mumbai 400061, Mahārāshtra</t>
  </si>
  <si>
    <t>Pink apartments, Mumbai, Mahārāshtra</t>
  </si>
  <si>
    <t>Quan Marriot</t>
  </si>
  <si>
    <t>Juhu</t>
  </si>
  <si>
    <t>Moshe's</t>
  </si>
  <si>
    <t>Bombay Baking Company</t>
  </si>
  <si>
    <t>J W Marriott (Juhu Tara Road), Mumbai 400 049, Mahārāshtra</t>
  </si>
  <si>
    <t>Reflections</t>
  </si>
  <si>
    <t>Mezzo Mezzo</t>
  </si>
  <si>
    <t>JW Marriott (Juhu), Mumbai 400 049, Mahārāshtra</t>
  </si>
  <si>
    <t>Enigma Bar and Night Club</t>
  </si>
  <si>
    <t>Juhu Tara Rd., Mumbai 400049, Mahārāshtra</t>
  </si>
  <si>
    <t>Lotus Café</t>
  </si>
  <si>
    <t>Ground Floor, JW Marriott Hotel (Juhu), Mumbai 400050, Mahārāshtra</t>
  </si>
  <si>
    <t>Cafe Coffe Day, Opposite JW Marriott</t>
  </si>
  <si>
    <t>Juhu Tara Road, Mumbai, Mahārāshtra</t>
  </si>
  <si>
    <t>Saffron</t>
  </si>
  <si>
    <t>Juhu Tara Road, Mumbai 400049, Mahārāshtra</t>
  </si>
  <si>
    <t>JW Marriott Pool</t>
  </si>
  <si>
    <t>JW Marrott Hotel (Juhu Tara Rd), Mumbai, Mahārāshtra</t>
  </si>
  <si>
    <t>The Class</t>
  </si>
  <si>
    <t>Opp J W Marriott (Juhu Tara Road), Mumbai, Mahārāshtra</t>
  </si>
  <si>
    <t>JW Marriot Executive Lounge</t>
  </si>
  <si>
    <t>JW Marriott Juhu (Juhu Tara Road), Mumbai 400049, Mahārāshtra</t>
  </si>
  <si>
    <t>The Class Thali</t>
  </si>
  <si>
    <t>9 Standard House, Bombay, Mumbai, Mahārāshtra</t>
  </si>
  <si>
    <t>Ice cream works</t>
  </si>
  <si>
    <t>Phoenix Mills (Lower Parel)</t>
  </si>
  <si>
    <t>Arola @ JW Marriott</t>
  </si>
  <si>
    <t>JW Marriott</t>
  </si>
  <si>
    <t>Opp JW Marriott, Mumbai, Mahārāshtra</t>
  </si>
  <si>
    <t>Good Earth</t>
  </si>
  <si>
    <t>Juhu (Juhu), Mumbai, Mahārāshtra</t>
  </si>
  <si>
    <t>Razzberry Rhinoceros</t>
  </si>
  <si>
    <t>Juhu Tara Road, Mumbai 400 049, Mahārāshtra</t>
  </si>
  <si>
    <t>ENIGMA at J.W.Marriott</t>
  </si>
  <si>
    <t>Juhu tara road (J.W.Marriott), Mumbai, Mahārāshtra</t>
  </si>
  <si>
    <t>Juhu, Mumbai 400049, Mahārāshtra</t>
  </si>
  <si>
    <t>Home Made Cafe</t>
  </si>
  <si>
    <t>Mumbai 400047, Mahārāshtra</t>
  </si>
  <si>
    <t>Arola</t>
  </si>
  <si>
    <t>Mahesh Lunch Home</t>
  </si>
  <si>
    <t>Juhu Tara Rd, Juhu (next to tulip star), Mumbai 400049, Mahārāshtra</t>
  </si>
  <si>
    <t>Salt &amp; Pepper</t>
  </si>
  <si>
    <t>Juben Wines</t>
  </si>
  <si>
    <t>Juhu Tara road (next to JW Marriot), Mumbai, Mahārāshtra</t>
  </si>
  <si>
    <t>Tea Villa</t>
  </si>
  <si>
    <t>Sunburn SummerFest</t>
  </si>
  <si>
    <t>Tulip Star, Juhu Tara Road (Juhu), Mumbai 400049, Mahārāshtra</t>
  </si>
  <si>
    <t>Melting Pot</t>
  </si>
  <si>
    <t>Juhu Tara Road (Juhu), Mumbai 400 049, Mahārāshtra</t>
  </si>
  <si>
    <t>Pebbles</t>
  </si>
  <si>
    <t>Opp JW Marriot (Juhu Tara Road), Mumbai, Mahārāshtra</t>
  </si>
  <si>
    <t>JVPD Scheme (13th Road), Mumbai, Mahārāshtra</t>
  </si>
  <si>
    <t>Ettarra Coffee House</t>
  </si>
  <si>
    <t>Mumbai 400049, Mahārāshtra</t>
  </si>
  <si>
    <t>Amrapali</t>
  </si>
  <si>
    <t>Juhu Church, Mumbai 400049, Mahārāshtra</t>
  </si>
  <si>
    <t>Starbucks</t>
  </si>
  <si>
    <t>Bawa International (Juhu Tara Rd.), Mumbai 400049, Mahārāshtra</t>
  </si>
  <si>
    <t>Juhu Vile Parle.</t>
  </si>
  <si>
    <t>Freeman and baker</t>
  </si>
  <si>
    <t>JANKI KUTIR (JUHU), Mumbai 400049, Mahārāshtra</t>
  </si>
  <si>
    <t>Poetry By Love &amp; Cheesecake</t>
  </si>
  <si>
    <t>Ten One</t>
  </si>
  <si>
    <t>Huber &amp; Holly</t>
  </si>
  <si>
    <t>Shop No 17, Ground Floor, 18 .And 19, Beach Haven 2, Juhu Tara Road, Mumbai 400049, Mahārāshtra</t>
  </si>
  <si>
    <t>Oyster Shell</t>
  </si>
  <si>
    <t>Juhu Tara Rd, Juhu, Mumbai 400049, Mahārāshtra</t>
  </si>
  <si>
    <t>Dr. Aggarwal's Clinic</t>
  </si>
  <si>
    <t>Near Prithvi Theatre (Juhu Church Road), Mumbai, Mahārāshtra</t>
  </si>
  <si>
    <t>Kromakay</t>
  </si>
  <si>
    <t>27balvir opp janki kutir, Mumbai 400053, Mahārāshtra</t>
  </si>
  <si>
    <t>Prithvi Book Store</t>
  </si>
  <si>
    <t>Prithvi Theatre</t>
  </si>
  <si>
    <t>Church Road (Juhu), Mumbai 400049, Mahārāshtra</t>
  </si>
  <si>
    <t>Prithvi Cafe</t>
  </si>
  <si>
    <t>Juhu Church Road, Mumbai 400 049, Mahārāshtra</t>
  </si>
  <si>
    <t>FYI - Frozen Yogurt Inc (Juhu)</t>
  </si>
  <si>
    <t>Juhu (Next To Prithvi Theatre), Mumbai, Mahārāshtra</t>
  </si>
  <si>
    <t>Bayleaf Café</t>
  </si>
  <si>
    <t>Tea Villa Cafe</t>
  </si>
  <si>
    <t>765, Juhu Church Road (Juhu), Mumbai 400049, Mahārāshtra</t>
  </si>
  <si>
    <t>Balaji</t>
  </si>
  <si>
    <t>Hotel Bahri Residency, (2nd Floor), Mumbai 400071, Mahārāshtra</t>
  </si>
  <si>
    <t>Powai</t>
  </si>
  <si>
    <t>Sagar Restaurant And Bar</t>
  </si>
  <si>
    <t>Ground Floor, Panchkutir, Adi Shankaracharya Marg, Mumbai, Mahārāshtra</t>
  </si>
  <si>
    <t>Retro Rewind Cafe</t>
  </si>
  <si>
    <t>2,3 Pant Farms, Mumbai 400076, Mahārāshtra</t>
  </si>
  <si>
    <t>38 Degree East</t>
  </si>
  <si>
    <t>Lake Road, Panchkutir, Mumbai 400079, Mahārāshtra</t>
  </si>
  <si>
    <t>Mini Punjab</t>
  </si>
  <si>
    <t>Sky dhaba</t>
  </si>
  <si>
    <t>Sports Bean Cafe</t>
  </si>
  <si>
    <t>Sports Bean Cafe, Powai</t>
  </si>
  <si>
    <t>Tina Sweets &amp; Farsan</t>
  </si>
  <si>
    <t>Lake View Cafe</t>
  </si>
  <si>
    <t>Off Adi Shankaracharya Road, Mumbai 400 087, Mahārāshtra</t>
  </si>
  <si>
    <t>Bayroute</t>
  </si>
  <si>
    <t>G1, Transocean House, Lake Boulevard Road, Hiranandani Business Park, Powai, Mumbai, Maharastra, Mumbai 400076, Mahārāshtra</t>
  </si>
  <si>
    <t>Burma Burma Restaurant &amp; Tea Room</t>
  </si>
  <si>
    <t>Unit G2, Transocean House (Lake Boulevard Road), Mumbai 400076, Mahārāshtra</t>
  </si>
  <si>
    <t>Madeira &amp; Mime</t>
  </si>
  <si>
    <t>G2, transocean house, hiranandani business park, lake boulevard, powai, Mumbai, Mumbai, Mahārāshtra</t>
  </si>
  <si>
    <t>Mia Cucina</t>
  </si>
  <si>
    <t>G3 Transocean, Lake Boulevard Street, Hiranandani Business Park, (Powai), Mumbai 400076, Mahārāshtra</t>
  </si>
  <si>
    <t>Lord Of The Drinks</t>
  </si>
  <si>
    <t>Mumbai 400076, Mahārāshtra</t>
  </si>
  <si>
    <t>Hitchki</t>
  </si>
  <si>
    <t>Building No. 2, Shop No. 5 .And 5A, Transolean House Lake, Boulevard Street, Hiranandani Garden, Mumbai 400079, Mahārāshtra</t>
  </si>
  <si>
    <t>Fabindia</t>
  </si>
  <si>
    <t>Transocean building (Hiranandani( opp powai lake)), Mumbai 400076, Mahārāshtra</t>
  </si>
  <si>
    <t>Mirchi And Mime</t>
  </si>
  <si>
    <t>G-6 , Ground Floor , Transocean House, Lake Boulevard Road, Hiranandani Business Park (Powai), Mumbai, Mahārāshtra</t>
  </si>
  <si>
    <t>Breadtalk</t>
  </si>
  <si>
    <t>Games Ranch</t>
  </si>
  <si>
    <t>Binge Central, Mumbai 400076, Mahārāshtra</t>
  </si>
  <si>
    <t>Hangla's - The taste of Kolkata</t>
  </si>
  <si>
    <t>Galleria Mall - Food Court (Hiranandani, Powai), Mumbai, Mahārāshtra</t>
  </si>
  <si>
    <t>Nirvana Park</t>
  </si>
  <si>
    <t>Orchard Avenue, Mumbai 400 076, Mahārāshtra</t>
  </si>
  <si>
    <t>Mochi, R-City</t>
  </si>
  <si>
    <t>R-City Mall,, Mumbai 400086, Mahārāshtra</t>
  </si>
  <si>
    <t>Binge Central</t>
  </si>
  <si>
    <t>Delhi Building (Hiranandani Gardens), Mumbai 400076, Mahārāshtra</t>
  </si>
  <si>
    <t>Delphi - C Wing</t>
  </si>
  <si>
    <t>Hiranandani Business Park, Mumbai, Mahārāshtra</t>
  </si>
  <si>
    <t>The Nutcracker</t>
  </si>
  <si>
    <t>Lake Boulevard Road, Mumbai 400076, Mahārāshtra</t>
  </si>
  <si>
    <t>Suvarna Mandir</t>
  </si>
  <si>
    <t>Powai, Mumbai, Mahārāshtra</t>
  </si>
  <si>
    <t>Godrej Nature Basket</t>
  </si>
  <si>
    <t>Orchard Avenue, Hiranandani Gardens (Powai), Mumbai 400072, Mahārāshtra</t>
  </si>
  <si>
    <t>Durga Maa Pandal</t>
  </si>
  <si>
    <t>Hiranandani, Powai</t>
  </si>
  <si>
    <t>Mocha</t>
  </si>
  <si>
    <t>Hiranandani (Powai), Mumbai, Mahārāshtra</t>
  </si>
  <si>
    <t>odyssey ii</t>
  </si>
  <si>
    <t>orchard avenue road, hiranandani gardens, powai, mu, Mahārāshtra</t>
  </si>
  <si>
    <t>Svastii, the Wellness Haven</t>
  </si>
  <si>
    <t>Powai, Mahārāshtra</t>
  </si>
  <si>
    <t>Bougan Villa</t>
  </si>
  <si>
    <t>Ghatkopar (opp Railway Station), Mumbai, Mahārāshtra</t>
  </si>
  <si>
    <t>Ghatkopar</t>
  </si>
  <si>
    <t>SHOP NO 7-8ADVOCATE CHAMBERRDCRAJ NAGAR,GHAZIABAD - 2010001 PH.NO. 01204865200, Mumbai 400075, Mahārāshtra</t>
  </si>
  <si>
    <t>KFC</t>
  </si>
  <si>
    <t>Commander Dattaji Salvi Marg, Mahārāshtra</t>
  </si>
  <si>
    <t>Sai Leela Bar &amp; Restaurant</t>
  </si>
  <si>
    <t>Ghatkopar East, Mumbai, Mahārāshtra</t>
  </si>
  <si>
    <t>Meghdoot</t>
  </si>
  <si>
    <t>Opp Ghatkopar Railway Station (Ghatkopar West), Mumbai 400086, Mahārāshtra</t>
  </si>
  <si>
    <t>Ghatkopar Siddhivinayak Mandir</t>
  </si>
  <si>
    <t>Pant Nagar, Ghatkopar, Mumbai 400075, Mahārāshtra</t>
  </si>
  <si>
    <t>Balaji Pure Veg</t>
  </si>
  <si>
    <t>Pantnagar</t>
  </si>
  <si>
    <t>ghatkopar east, Mumbai, Mahārāshtra</t>
  </si>
  <si>
    <t>Samrat Hotel</t>
  </si>
  <si>
    <t>Opp Ghatkopar Station (Jawahar road), Mumbai 400077, Mahārāshtra</t>
  </si>
  <si>
    <t>The Jalsa by Nanumal Bhojraj</t>
  </si>
  <si>
    <t>Patel Chowk, Rb Mehta Marg, 60 Feet Road Oposite Vodafone Gallery, Ghatkopar East, Mumbai, Mahārāshtra</t>
  </si>
  <si>
    <t>Bharat Cafe</t>
  </si>
  <si>
    <t>Opp. Ghatkopar Station (W), Mumbai 400086, Mahārāshtra</t>
  </si>
  <si>
    <t>Exotic Flavours</t>
  </si>
  <si>
    <t>Exotic Flavours Veg Multi Cuisine</t>
  </si>
  <si>
    <t>Ghatkopar east sky walk</t>
  </si>
  <si>
    <t>The Hideout</t>
  </si>
  <si>
    <t>400075, Mahārāshtra</t>
  </si>
  <si>
    <t>Arun Vaidya Park</t>
  </si>
  <si>
    <t>R N Narkar Marg, PantNagar, (Ghatkopar, East), Mumbai 400075, Mahārāshtra</t>
  </si>
  <si>
    <t>Capresso</t>
  </si>
  <si>
    <t>Ghatkopar east, Mumbai, Mahārāshtra</t>
  </si>
  <si>
    <t>Vodafone Store</t>
  </si>
  <si>
    <t>Patel Chowk, Ghatkopar East, Mumbai, Mahārāshtra</t>
  </si>
  <si>
    <t>Gentle Dental Care</t>
  </si>
  <si>
    <t>Guru Dutta Co-op Housing Society (Patel Chowk r.b mehta road), Mumbai 400077, Mahārāshtra</t>
  </si>
  <si>
    <t>Parakh Hospital</t>
  </si>
  <si>
    <t>Khokani Lane, Opp Ghatkopar Railway Stn (Ghatkopar (E)), Mumbai 400077, Mahārāshtra</t>
  </si>
  <si>
    <t>Samaj Mandir Hall</t>
  </si>
  <si>
    <t>Pt Nagar Colony Road, Mumbai, Mahārāshtra</t>
  </si>
  <si>
    <t>khot lane</t>
  </si>
  <si>
    <t>Jankalyan Sahakari Bank Ltd.</t>
  </si>
  <si>
    <t>Sanghvi Square, M. G. Road, (Ghatkopar West), Mumbai 400086, Mahārāshtra</t>
  </si>
  <si>
    <t>Tilak Rd, Ghatkopar (E), Mumbai, Mahārāshtra</t>
  </si>
  <si>
    <t>Variety Infotech</t>
  </si>
  <si>
    <t>A/21, Laxmi Shopping Center, Near New Post Office, Opp. Railway Station, Ghatkopar (W),, Mumbai 400086, Mahārāshtra</t>
  </si>
  <si>
    <t>Pizza Etc</t>
  </si>
  <si>
    <t>Hingwala Lane, Ghatkopar (E) (Nxt to SVDD School), Mumbai 400077, Mahārāshtra</t>
  </si>
  <si>
    <t>Noble chemist</t>
  </si>
  <si>
    <t>Popular Hotel</t>
  </si>
  <si>
    <t>Ghatkopar (E), Mumbai, Mahārāshtra</t>
  </si>
  <si>
    <t>Radha Krishna Wine-N-Dine</t>
  </si>
  <si>
    <t>Noble Medicals</t>
  </si>
  <si>
    <t>Patel Chowk (Ghatkopar), Mumbai 400077, Mahārāshtra</t>
  </si>
  <si>
    <t>V2 Marketimg</t>
  </si>
  <si>
    <t>Ghatkopar Vegetable Market</t>
  </si>
  <si>
    <t>Near Ghatkopar Station, Ghatkopar East, Mumbai 400077, Mahārāshtra</t>
  </si>
  <si>
    <t>Ganesh Temple</t>
  </si>
  <si>
    <t>Acharya Ground</t>
  </si>
  <si>
    <t>Ghatkopar (E)</t>
  </si>
  <si>
    <t>Rajesh Patkar Institute of Software Engineering Pvt. Ltd.</t>
  </si>
  <si>
    <t>Malad West, Mumbai, Mahārāshtra</t>
  </si>
  <si>
    <t>Malad</t>
  </si>
  <si>
    <t>Gurdwara Malad (East) - Sri Guru Nanak Satsangh Sabha</t>
  </si>
  <si>
    <t>Plot No. 18, Near Podar Park (Malad (East)), Mumbai 400097, Mahārāshtra</t>
  </si>
  <si>
    <t>Hanuman Mandir</t>
  </si>
  <si>
    <t>Malad Station Gate No. 1, Mumbai 400001, Mahārāshtra</t>
  </si>
  <si>
    <t>Cards-N-Gifts</t>
  </si>
  <si>
    <t>Shop No.3/1, The Malad Co-Operative Housing Society, Poddar Road, Opp Goal Garden, Malad (east) (Poddar Road), Mumbai 400 064, Mahārāshtra</t>
  </si>
  <si>
    <t>Dada's Restaurant</t>
  </si>
  <si>
    <t>MM Mithaiwala</t>
  </si>
  <si>
    <t>Parekh Road (Malad Railway Station), Mumbai 400064, Mahārāshtra</t>
  </si>
  <si>
    <t>Hotel Gopal</t>
  </si>
  <si>
    <t>Opp. The Mall (Station Road, Malad (West)), Mumbai 400064, Mahārāshtra</t>
  </si>
  <si>
    <t>aditi fast food hotel</t>
  </si>
  <si>
    <t>S.V.Road Malad West (Near Malad Railway Station), Mumbai 400067, Mahārāshtra</t>
  </si>
  <si>
    <t>fortpoint auto</t>
  </si>
  <si>
    <t>Gol garden</t>
  </si>
  <si>
    <t>Aditi</t>
  </si>
  <si>
    <t>Uttaranchal</t>
  </si>
  <si>
    <t>Marinelines</t>
  </si>
  <si>
    <t>Shantinath Shopping Center</t>
  </si>
  <si>
    <t>Near Malad Station, Mumbai 400067, Maharashstra</t>
  </si>
  <si>
    <t>El Grotto</t>
  </si>
  <si>
    <t>Near malad station, Mahārāshtra</t>
  </si>
  <si>
    <t>Natraj Market</t>
  </si>
  <si>
    <t>Malad Railway Station (Malad West), Mumbai 400064, Mahārāshtra</t>
  </si>
  <si>
    <t>S.K wine n dine</t>
  </si>
  <si>
    <t>Anand Shopping Centre</t>
  </si>
  <si>
    <t>Gaushala Lane, Mumbai, Mahārāshtra</t>
  </si>
  <si>
    <t>Rajesh Ice Cream</t>
  </si>
  <si>
    <t>Madarwal Ruia Road, Mumbai, Mahārāshtra</t>
  </si>
  <si>
    <t>Ajay Arvindbhai Khatri</t>
  </si>
  <si>
    <t>Malad West Road, Mumbai, Mahārāshtra</t>
  </si>
  <si>
    <t>Royal Challenge</t>
  </si>
  <si>
    <t>Zafran infinity mall</t>
  </si>
  <si>
    <t>Malad (Malad), Mumbai, Mahārāshtra</t>
  </si>
  <si>
    <t>Hotel Pawan</t>
  </si>
  <si>
    <t>Sainath Road (Malad (West)), Mumbai 400064, Mahārāshtra</t>
  </si>
  <si>
    <t>Foodland</t>
  </si>
  <si>
    <t>near malad subway, Mumbai 400064, Mahārāshtra</t>
  </si>
  <si>
    <t>Ashoka hotel</t>
  </si>
  <si>
    <t>Near malad sub way (Malad east), Mumbai, Mahārāshtra</t>
  </si>
  <si>
    <t>Dr Sushil Tahiliani</t>
  </si>
  <si>
    <t>Opp Sri Devi Hotel, (S.V.Road,Near Malad Station), Mumbai, Mahārāshtra</t>
  </si>
  <si>
    <t>Gupta's Bhel and Pani Puri House</t>
  </si>
  <si>
    <t>Himanshu Roy Amarsi Rd (Near New Era Signal), Mumbai 400064, Mahārāshtra</t>
  </si>
  <si>
    <t>Milan</t>
  </si>
  <si>
    <t>Daftari Road (Nr Malad Railway Station), Mumbai 400097, Mahārāshtra</t>
  </si>
  <si>
    <t>Shreedevi Hotel</t>
  </si>
  <si>
    <t>Shree Shopping Centre, Sv Road, Malad West, Mumbai, Mahārāshtra</t>
  </si>
  <si>
    <t>Subhash road, Malad</t>
  </si>
  <si>
    <t>Kasturba talkies</t>
  </si>
  <si>
    <t>Hotel Sapna</t>
  </si>
  <si>
    <t>Malad west (S	V road), Mumbai 400064, Mahārāshtra</t>
  </si>
  <si>
    <t>Rani Sati Marg, Malad (E), Mumbai, Mahārāshtra</t>
  </si>
  <si>
    <t>Shree Krishna</t>
  </si>
  <si>
    <t>Raghuvanshi Snacks</t>
  </si>
  <si>
    <t>Shop no. 3/4, Nalanda Apartments (Datta Mandir Road), Mumbai 400097, Mahārāshtra</t>
  </si>
  <si>
    <t>Mahindra And Mahindra (School)</t>
  </si>
  <si>
    <t>Malad (east), Mumbai 400097, Mahārāshtra</t>
  </si>
  <si>
    <t>Janta Farsan &amp; Sweets</t>
  </si>
  <si>
    <t>Malad east, Mumbai, Mahārāshtra</t>
  </si>
  <si>
    <t>Vertigo</t>
  </si>
  <si>
    <t>Malad, Mumbai, Mahārāshtra</t>
  </si>
  <si>
    <t>MTNL Malad West</t>
  </si>
  <si>
    <t>S.V Road,, Mumbai, Mahārāshtra</t>
  </si>
  <si>
    <t>Sanjay Ice Cream</t>
  </si>
  <si>
    <t>Malad West Nr Bata (S V Road), Mumbai, Mahārāshtra</t>
  </si>
  <si>
    <t>Pool Hunt</t>
  </si>
  <si>
    <t>Kandivali</t>
  </si>
  <si>
    <t>Kandivali Fire Brigade</t>
  </si>
  <si>
    <t>SV Road (Kandivali West), Mumbai, Mahārāshtra</t>
  </si>
  <si>
    <t>Canara Bank</t>
  </si>
  <si>
    <t>Kandivali, Mumbai, Mahārāshtra</t>
  </si>
  <si>
    <t>Chandreshwar wines</t>
  </si>
  <si>
    <t>Shop no 6 &amp; 7 , Visa Sorathiya Vanik Niwas (V.L Road, Near Kandivli Railway station , Kandivli), Mumbai 400067, Mahārāshtra</t>
  </si>
  <si>
    <t>World of Titan</t>
  </si>
  <si>
    <t>Gulson Sales , Shop No.1 &amp; 2, Mehul Building, LT Road, Borivili (W), Mumbai 400092, Mahārāshtra</t>
  </si>
  <si>
    <t>Sarovar Restaurant</t>
  </si>
  <si>
    <t>Payyade International, (V.L. Road,Kandivali west.), Mumbai 400067, Mahārāshtra</t>
  </si>
  <si>
    <t>Power House MMA Training Centre</t>
  </si>
  <si>
    <t>Adarsh Restaurant &amp; Bar</t>
  </si>
  <si>
    <t>K N Cross Road No 1, Jethava Nagar, Vasanji Lalji Road (Near Kandivali Railway St, Kandivali West), Mumbai 400067, Mahārāshtra</t>
  </si>
  <si>
    <t>Krishna Sagar Pure Veg Hotel</t>
  </si>
  <si>
    <t>Trikamdas Road; (Near Kandivali Station), Mumbai 400067, Mahārāshtra</t>
  </si>
  <si>
    <t>Ribbons N Ballons</t>
  </si>
  <si>
    <t>Mathuradas Road (Kandivali), Mumbai 400067, Mahārāshtra</t>
  </si>
  <si>
    <t>Dairy Don</t>
  </si>
  <si>
    <t>mahavir nagar, Mumbai, Mahārāshtra</t>
  </si>
  <si>
    <t>Jain Sweet and Bhelpuri House</t>
  </si>
  <si>
    <t>Near Kandivali Station, 400067, Mahārāshtra</t>
  </si>
  <si>
    <t>Monginis Cake Shop</t>
  </si>
  <si>
    <t>kandivli, Mumbai 400 093, Mahārāshtra</t>
  </si>
  <si>
    <t>Baskin &amp; Robbins</t>
  </si>
  <si>
    <t>MG Road; Kandivali, Mumbai 400067, Mahārāshtra</t>
  </si>
  <si>
    <t>Paratha King</t>
  </si>
  <si>
    <t>6119 Mahavir Nagar, Kandivali West (Mahaveer Nagar,Kandivali (west )), Mumbai 400067, Mahārāshtra</t>
  </si>
  <si>
    <t>Public Welfare Department Garden</t>
  </si>
  <si>
    <t>Adukia Road; Kandivali West, Mumbai 400067, Mahārāshtra</t>
  </si>
  <si>
    <t>Jamna Nivas (Baa's home)</t>
  </si>
  <si>
    <t>Vasanji Lalji Road (Opp. Hotel Sarovar), Mumbai 400067, Mahārāshtra</t>
  </si>
  <si>
    <t>Jain Fast Food</t>
  </si>
  <si>
    <t>Outside kandivali station (Kandivai west), Mumbai, Mahārāshtra</t>
  </si>
  <si>
    <t>Kala Hanuman Mandir</t>
  </si>
  <si>
    <t>Dr Bapat, Dentist</t>
  </si>
  <si>
    <t>Tambi Nastha Stall &amp; Fast Food</t>
  </si>
  <si>
    <t>Opp Kandivali West Post office, (Post office lane, Kandivali West), Mumbai 400067, Mahārāshtra</t>
  </si>
  <si>
    <t>Playwin Video Games Parlor</t>
  </si>
  <si>
    <t>Trikamdas Road; (Kandivali West), Mumbai 400067, Mahārāshtra</t>
  </si>
  <si>
    <t>Hotel Sapna, Pure Veg</t>
  </si>
  <si>
    <t>Opp NL College, SV Road, (Malad West), Mumbai 400067, Mahārāshtra</t>
  </si>
  <si>
    <t>Kandivali West Vegetable Market</t>
  </si>
  <si>
    <t>Mathuradas Road (Kandivali West), Mumbai 400067, Mahārāshtra</t>
  </si>
  <si>
    <t>Pool bunt</t>
  </si>
  <si>
    <t>Apollo Clinic</t>
  </si>
  <si>
    <t>M G Road No 1, Tulaskar Wadi, Kandivali West, Mumbai 400067, Mahārāshtra</t>
  </si>
  <si>
    <t>Tha Thai Bhatia Hall</t>
  </si>
  <si>
    <t>Shankar lane; Opp Rajguru Flyover; (Kandivali West), Mumbai 400067, Mahārāshtra</t>
  </si>
  <si>
    <t>Mathuradas Road</t>
  </si>
  <si>
    <t>Fire N Spice</t>
  </si>
  <si>
    <t>Kandivali Post office</t>
  </si>
  <si>
    <t>Kandivali Post Office (Station Road, Kandivali West), Mumbai 400067, Maharasta</t>
  </si>
  <si>
    <t>Kokilkunj</t>
  </si>
  <si>
    <t>M G Road (No. 4), Mumbai 400067, Mahārāshtra</t>
  </si>
  <si>
    <t>Jumbo King</t>
  </si>
  <si>
    <t>kandivali, Mahārāshtra</t>
  </si>
  <si>
    <t>Swimming Pool @ KRC Club Kandivali</t>
  </si>
  <si>
    <t>KRC Club, Opp SVP School, (Bhogilal Phadia Road, Off Shantilal Modi Rd, Kandi), Mumbai 400067, Mahārāshtra</t>
  </si>
  <si>
    <t>Kiran Fast Food Corner</t>
  </si>
  <si>
    <t>Shop no.5, Suraj Heights (Walbhat Road, Bhajiwala Compound), Goregaon East 400063, Mahārāshtra</t>
  </si>
  <si>
    <t>Goregaon</t>
  </si>
  <si>
    <t>Cooling Tower (Nirlon Knowledge Park, Goregaon), Mumbai, Mahārāshtra</t>
  </si>
  <si>
    <t>Prof. Shukla's Library</t>
  </si>
  <si>
    <t>5th Floor, I. B. Patel School, Jawahar Nagar (Road No 14, Goregaon (West)), Mumbai 400062, Mahārāshtra</t>
  </si>
  <si>
    <t>Ground Floor, Block B6 (Nirlon Knowledge Park, Goregaon), Mumbai 400063, Mahārāshtra</t>
  </si>
  <si>
    <t>Vasu Sandwitch</t>
  </si>
  <si>
    <t>Even Systems</t>
  </si>
  <si>
    <t>248/249, New Aashirwad Industrial Estate No 5, Ram Mandir Road, Mumbai 400104, Mahārāshtra</t>
  </si>
  <si>
    <t>Amul Scooping Parlour</t>
  </si>
  <si>
    <t>City Center, S.V. Road, Goregoan (W) (Next To Cinemax Theatre. Goregaon West.), Mumbai 400062, Mahārāshtra</t>
  </si>
  <si>
    <t>Devi Prasad</t>
  </si>
  <si>
    <t>Sector 19, Vashi Turbhe Rd, Navi Mumbai 400705, Mahārāshtra</t>
  </si>
  <si>
    <t>Navi Mumbai (Vashi)</t>
  </si>
  <si>
    <t>FrontStreet</t>
  </si>
  <si>
    <t>near Golden Punjab, Navi Mumbai, Mahārāshtra</t>
  </si>
  <si>
    <t>Legend</t>
  </si>
  <si>
    <t>Sector: 17, Navi Mumbai, Mahārāshtra</t>
  </si>
  <si>
    <t>Vashi Post Office</t>
  </si>
  <si>
    <t>Sec 16A, Navi Mumbai, Mahārāshtra</t>
  </si>
  <si>
    <t>Merchants Gymkhana</t>
  </si>
  <si>
    <t>Persipolis</t>
  </si>
  <si>
    <t>Sector 17, Vashi, Mahārāshtra</t>
  </si>
  <si>
    <t>Hotel Vishwa Jyot</t>
  </si>
  <si>
    <t>72, Shiv Centre, Sector 17, (Vashi,), Navi Mumbai 400703, Mahārāshtra</t>
  </si>
  <si>
    <t>Santosh restaurant</t>
  </si>
  <si>
    <t>Sector 9A, Vashi 400703, Mahārāshtra</t>
  </si>
  <si>
    <t>Atithi Fine Dining</t>
  </si>
  <si>
    <t>vishwajot hotel</t>
  </si>
  <si>
    <t>Sweta Palace Tapri</t>
  </si>
  <si>
    <t>The Cosmetic Clinic - Dentist in Vashi</t>
  </si>
  <si>
    <t>Shop No.67, Arenja Corner, Sector 17 (Vashi), Navi Mumbai 400703, Mahārāshtra</t>
  </si>
  <si>
    <t>Abbott: The Creek</t>
  </si>
  <si>
    <t>Vashi</t>
  </si>
  <si>
    <t>Marosh Pita &amp; Hummus</t>
  </si>
  <si>
    <t>Sec 17, Navi Mumbai, Mahārāshtra</t>
  </si>
  <si>
    <t>Hotel Supreme Heritage</t>
  </si>
  <si>
    <t>Sector 19 (Vashi), Navi Mumbai 400705, Mahārāshtra</t>
  </si>
  <si>
    <t>Sweta Palace</t>
  </si>
  <si>
    <t>Sector 17, Navi Mumbai, Mahārāshtra</t>
  </si>
  <si>
    <t>The Bar Stock Exchange</t>
  </si>
  <si>
    <t>Navi Mumbai 400703, Mahārāshtra</t>
  </si>
  <si>
    <t>Shiv Centre</t>
  </si>
  <si>
    <t>Plot No.72, Sant Lawrence High School Marg, Tushbhi Sector 17, Vashi, Navi Mumbai, Mahārāshtra</t>
  </si>
  <si>
    <t>Plug In</t>
  </si>
  <si>
    <t>Welfare Chambers (Plot 73, Sector-17, Vashi), Navi Mumbai 400705, Mahārāshtra</t>
  </si>
  <si>
    <t>Mark International</t>
  </si>
  <si>
    <t>31 Mafco Apm Yard, Sector 18 Vashi, Navi Mumbai 400705, Mahārāshtra</t>
  </si>
  <si>
    <t>J K Chambers</t>
  </si>
  <si>
    <t>Sector 17 (Vashi), New Mumbai</t>
  </si>
  <si>
    <t>City Centre Mall</t>
  </si>
  <si>
    <t>Vashi (Palm Beach Road), Mumbai, Mahārāshtra</t>
  </si>
  <si>
    <t>RTO Office, Vashi.</t>
  </si>
  <si>
    <t>Navi Mumbai 400706, Mahārāshtra</t>
  </si>
  <si>
    <t>Amul Ice Cream Parlour</t>
  </si>
  <si>
    <t>Sec 17 (Vashi), Mahārāshtra</t>
  </si>
  <si>
    <t>Lane with the singing dog</t>
  </si>
  <si>
    <t>Vashi, Navi Mumbai, Mahārāshtra</t>
  </si>
  <si>
    <t>Sector 16</t>
  </si>
  <si>
    <t>Gupta Sandwich</t>
  </si>
  <si>
    <t>Vashi Plaza, Sector 17 (Vashi), Navi Mumbai 400705, Mahārāshtra</t>
  </si>
  <si>
    <t>Abbott Hotel</t>
  </si>
  <si>
    <t>Vashi 400703, Mahārāshtra</t>
  </si>
  <si>
    <t>Santosh Bhuvan</t>
  </si>
  <si>
    <t>Jain Society, Sion west, Mumbai 400022, Mahārāshtra</t>
  </si>
  <si>
    <t>Sion</t>
  </si>
  <si>
    <t>Guru Nanak School</t>
  </si>
  <si>
    <t>Sion West, Mumbai, Mahārāshtra</t>
  </si>
  <si>
    <t>Sion Jain Upashray</t>
  </si>
  <si>
    <t>Jain society , sion west, Mumbai 400022, Mahārāshtra</t>
  </si>
  <si>
    <t>Printstop</t>
  </si>
  <si>
    <t>Road No 24, Sion West, (opp SIES College), Mumbai 400022, Mahārāshtra</t>
  </si>
  <si>
    <t>Sion West, Eastern Exress Hwy, Mumbai 400022, Mahārāshtra</t>
  </si>
  <si>
    <t>Abhinandan Swami Jain Temple</t>
  </si>
  <si>
    <t>Kaya Skin Clinic</t>
  </si>
  <si>
    <t>Plot No. 180, Ground Floor, Sion (West) (Nr. Sion Hospital,), Mumbai 400022, Mahārāshtra</t>
  </si>
  <si>
    <t>Coffee Day Express</t>
  </si>
  <si>
    <t>Opposite Mata Laxmi Hospital (Sion (east)), Mumbai, Mahārāshtra</t>
  </si>
  <si>
    <t>A1 Samosa Sion</t>
  </si>
  <si>
    <t>Peninsula</t>
  </si>
  <si>
    <t>117 Peace Heaven, Mumbai 400022, Mahārāshtra</t>
  </si>
  <si>
    <t>Guru Kripa</t>
  </si>
  <si>
    <t>Guru Kripa Building, Near SIES College (Rd No 24), Mumbai 400022, Mahārāshtra</t>
  </si>
  <si>
    <t>Guru Kripa (A1 Samosa)</t>
  </si>
  <si>
    <t>Sion, Mumbai, Mahārāshtra</t>
  </si>
  <si>
    <t>Grab A Bite</t>
  </si>
  <si>
    <t>Reliance Fresh</t>
  </si>
  <si>
    <t>Near Eastern Express Highway (Sion), Mumbai, Mahārāshtra</t>
  </si>
  <si>
    <t>Vijay Sales</t>
  </si>
  <si>
    <t>Sion Circle, Mahārāshtra</t>
  </si>
  <si>
    <t>cafe istaa</t>
  </si>
  <si>
    <t>Sion East, Mumbai, Mahārāshtra</t>
  </si>
  <si>
    <t>Basu Tailors</t>
  </si>
  <si>
    <t>Koliwada, Mumbai, Mahārāshtra</t>
  </si>
  <si>
    <t>Sion Circle, Mumbai, Mahārāshtra</t>
  </si>
  <si>
    <t>Tibb's FRANKIE</t>
  </si>
  <si>
    <t>King's Circle (Outside S.S.S Nagar), Mumbai 400037, Mahārāshtra</t>
  </si>
  <si>
    <t>Matunga</t>
  </si>
  <si>
    <t>Veer Kotwal Udyan</t>
  </si>
  <si>
    <t>Opp. Plaza Theatre, Mumbai, Mahārāshtra</t>
  </si>
  <si>
    <t>Outside dadar station (Dadar east), Mumbai, Mahārāshtra</t>
  </si>
  <si>
    <t>Shrikrishna Wada</t>
  </si>
  <si>
    <t>chabildas rd (dadar), Mumbai, Mahārāshtra</t>
  </si>
  <si>
    <t>Shree Krishna Batata Wada</t>
  </si>
  <si>
    <t>Off Chhabildas Road (Dadar West), Mumbai 400 028, Mahārāshtra</t>
  </si>
  <si>
    <t>J J Mehta And Sons</t>
  </si>
  <si>
    <t>Chhabildas Road, Mumbai 400028, Mahārāshtra</t>
  </si>
  <si>
    <t>dadar E, Mumbai, Mahārāshtra</t>
  </si>
  <si>
    <t>Wholesale Flower Market</t>
  </si>
  <si>
    <t>Dadar Station, Mumbai, Mahārāshtra</t>
  </si>
  <si>
    <t>Kailash Lassi</t>
  </si>
  <si>
    <t>Dadar East, Mumbai, Mahārāshtra</t>
  </si>
  <si>
    <t>INOX Nakshatra</t>
  </si>
  <si>
    <t>2nd Floor, Nakshatra Cine Shoppe, Ranade Road (Dadar West), Mumbai 400028, Mahārāshtra</t>
  </si>
  <si>
    <t>Gopal Krishna Bar &amp; Restaurant</t>
  </si>
  <si>
    <t>Kabutar Khana (Near Dadar Station), Dadar 400028, Mahārāshtra</t>
  </si>
  <si>
    <t>Dadar Surti Farsan Mart</t>
  </si>
  <si>
    <t>Shop No 6/7/8, Javale Wadi, Ranade Road, Dadar West, Mumbai, Mahārāshtra</t>
  </si>
  <si>
    <t>Chetan Bar and Resturant</t>
  </si>
  <si>
    <t>Trupti Pure Vegetarian</t>
  </si>
  <si>
    <t>Shop No. 8, Akanksha Building, Opposite Plaza Cinema, N. C. Kelkar Road, Mumbai 400028, Mahārāshtra</t>
  </si>
  <si>
    <t>Kabutar khana</t>
  </si>
  <si>
    <t>Purandare Chowk, Near Dadar Station (N C Kelkar Road, Dadar West), Mumbai 400028, Mahārāshtra</t>
  </si>
  <si>
    <t>Red Box Cafe</t>
  </si>
  <si>
    <t>Vidyalankar Classes (West)</t>
  </si>
  <si>
    <t>39, Vadhani Industrial Estate, L.B.S. Marg, Ghatkopar West, Mumbai 400086, Mahārāshtra</t>
  </si>
  <si>
    <t>Silver Spring</t>
  </si>
  <si>
    <t>West Bengal</t>
  </si>
  <si>
    <t>Shivaji Mandir</t>
  </si>
  <si>
    <t>Diagonally Opposite To Plaza Cinema, Dadar (West) (N.C. Kelkar Road), Mumbai 400028, Mahārāshtra</t>
  </si>
  <si>
    <t>Panshikar</t>
  </si>
  <si>
    <t>218 Gananath Chs, Mumbai, Mahārāshtra</t>
  </si>
  <si>
    <t>Star Mall Dadar</t>
  </si>
  <si>
    <t>Gomantak Restaurant</t>
  </si>
  <si>
    <t>N.C.Kelkar Road (Dadar), Mumbai 400028, Mahārāshtra</t>
  </si>
  <si>
    <t>Jeet Nagar</t>
  </si>
  <si>
    <t>JP Road (versova, andheri west), Mumbai, Mahārāshtra</t>
  </si>
  <si>
    <t>Mia</t>
  </si>
  <si>
    <t>10A And B, Aaraam Nagar 2, J P Road, Versova, Andheri West, Mumbai, Mahārāshtra</t>
  </si>
  <si>
    <t>CHINTHAI the restaurant</t>
  </si>
  <si>
    <t>shop No.6,Beach Appartments (Picnic Cottage,J.P road), Mumbai, Mahārāshtra</t>
  </si>
  <si>
    <t>Soro Zai</t>
  </si>
  <si>
    <t>Mumbai 400061, Mahārāshtra</t>
  </si>
  <si>
    <t>Cheeliza</t>
  </si>
  <si>
    <t>KTR (Karnataka Tiffin Room)</t>
  </si>
  <si>
    <t>Varsova, Mumbai 400061, Mahārāshtra</t>
  </si>
  <si>
    <t>Jumbo king</t>
  </si>
  <si>
    <t>Versova, Mumbai, Mahārāshtra</t>
  </si>
  <si>
    <t>Shop 51 GF, Branch Queen, Versova, Mumbai, Mahārāshtra</t>
  </si>
  <si>
    <t>Jam Jar Diner</t>
  </si>
  <si>
    <t>Aram Nagar 2, Next to The Washing Bay laundry, Across the road from Subway, Versova (Andheri), Mumbai 400061, Mahārāshtra</t>
  </si>
  <si>
    <t>balwas marine lines</t>
  </si>
  <si>
    <t>Blue Tokai Coffee Roasters</t>
  </si>
  <si>
    <t>Palm Beach Apartments, J. P. Nagar, Aram Nagar (Versova), Mumbai 400061, Mahārāshtra</t>
  </si>
  <si>
    <t>6th Street Yogurt</t>
  </si>
  <si>
    <t>8, Beach Queen CHSL, JP Road, Versova, Andheri West, Mumbai, Mumbai, Mahārāshtra</t>
  </si>
  <si>
    <t>Yogurtbay</t>
  </si>
  <si>
    <t>Chai Coffi (Versova, Yari Road), Mumbai, Mahārāshtra</t>
  </si>
  <si>
    <t>Next to Yamu's Panchayat, Opp. Silver View (JP Road, Versova, Andheri West), Mumbai 400061, Mahārāshtra</t>
  </si>
  <si>
    <t>Fil Fil</t>
  </si>
  <si>
    <t>J P Road, (Versova, andheri West), Mumbai, Mahārāshtra</t>
  </si>
  <si>
    <t>3-4, Darya Darshan, JP Road Seaface (Versova, Andheri West), Mumbai 400061, Mahārāshtra</t>
  </si>
  <si>
    <t>Versowa Rocks</t>
  </si>
  <si>
    <t>Park</t>
  </si>
  <si>
    <t>Studio Skull</t>
  </si>
  <si>
    <t>173, Aram Nagar 1 (Versova, Andheri West), Mumbai 400053, Mahārāshtra</t>
  </si>
  <si>
    <t>GROUND FLOOR, SHOP NOS 3&amp;4,MOUNT BUILDING, J P ROAD, VERSOVA,,MUMBAI - 400061 PH.NO. 022-26375950/51/52/53/54/55/56/57, Mumbai 400061, Mahārāshtra</t>
  </si>
  <si>
    <t>D mart</t>
  </si>
  <si>
    <t>Yari road (Andheri), Mumbai, Mahārāshtra</t>
  </si>
  <si>
    <t>Versova Sea Face</t>
  </si>
  <si>
    <t>Jai Prakash Rd (Versova), Mumbai, Mahārāshtra</t>
  </si>
  <si>
    <t>Redbox Cafe</t>
  </si>
  <si>
    <t>icici bank versova</t>
  </si>
  <si>
    <t>Styx - Snooker n Cafe</t>
  </si>
  <si>
    <t>Gita Villa 18, Aaram Nagar Part 1 (JP Road), Mumbai 400061, Mahārāshtra</t>
  </si>
  <si>
    <t>14 Sauce Story</t>
  </si>
  <si>
    <t>I'm mad so ?</t>
  </si>
  <si>
    <t>picadilly Picadilly Picadilly</t>
  </si>
  <si>
    <t>Leaping Windows Cafe</t>
  </si>
  <si>
    <t>3, Corner View, Off Yari Road, Opposite Bianca Towers Versova, Andheri (West) (Off Raheja's), Mumbai 400061, Mahārāshtra</t>
  </si>
  <si>
    <t>Nawab Kebab</t>
  </si>
  <si>
    <t>Off yari rd, panch marg, Mumbai 400061, Mahārāshtra</t>
  </si>
  <si>
    <t>Versova Beach</t>
  </si>
  <si>
    <t>Versova (Andheri west), Mumbai 400061, Mahārāshtra</t>
  </si>
  <si>
    <t>Ivy wine cafe and bistro</t>
  </si>
  <si>
    <t>Jp road (Versova), Mumbai, Mahārāshtra</t>
  </si>
  <si>
    <t>Costa Coffee</t>
  </si>
  <si>
    <t>Inside ShopperStop Juhu</t>
  </si>
  <si>
    <t>Bianca Towers</t>
  </si>
  <si>
    <t>Barrio</t>
  </si>
  <si>
    <t>J.P Road (Versova), Mumbai 400061, Mahārāshtra</t>
  </si>
  <si>
    <t>house</t>
  </si>
  <si>
    <t>versova, Mumbai, Mahārāshtra</t>
  </si>
  <si>
    <t>Sirocco</t>
  </si>
  <si>
    <t>Inch By Inch Body Temple, Jp Road, Off Yari Road, Panch Nagar, Mumbai, Mahārāshtra</t>
  </si>
  <si>
    <t>Ganga Bhavan</t>
  </si>
  <si>
    <t>Jay Prakash Road, Mumbai, Mahārāshtra</t>
  </si>
  <si>
    <t>Natural’s</t>
  </si>
  <si>
    <t>Scrumptious Eatery</t>
  </si>
  <si>
    <t>Yari Rd, Mumbai, Mahārāshtra</t>
  </si>
  <si>
    <t>Guru kripa punjabi dhaba</t>
  </si>
  <si>
    <t>Versova, Mahārāshtra</t>
  </si>
  <si>
    <t>Hanuman Temple</t>
  </si>
  <si>
    <t>7 bungalow, Mahārāshtra</t>
  </si>
  <si>
    <t>Bar Bank</t>
  </si>
  <si>
    <t>Kailash Complex Slope, Mumbai 400083, Mahārāshtra</t>
  </si>
  <si>
    <t>Vikhroli</t>
  </si>
  <si>
    <t>Hangla's</t>
  </si>
  <si>
    <t>Main St, Powai, Mumbai, Mahārāshtra</t>
  </si>
  <si>
    <t>Dr. L H Hiranandani Hospital</t>
  </si>
  <si>
    <t>Hill Side Avenue, Hiranandani Gardens (Powai), Mumbai 400 076, Mahārāshtra</t>
  </si>
  <si>
    <t>Neptune Magnet Mall</t>
  </si>
  <si>
    <t>Next to Metro Departmental Store &amp; Magatram Gas Station (L.B.S Marg , Bhandup (W)), Mumbai, Mahārāshtra</t>
  </si>
  <si>
    <t>latitude</t>
  </si>
  <si>
    <t>longitude</t>
  </si>
  <si>
    <t>restaurant</t>
  </si>
  <si>
    <t>cafe</t>
  </si>
  <si>
    <t>bar</t>
  </si>
  <si>
    <t>bakery</t>
  </si>
  <si>
    <t>meal_takeaway</t>
  </si>
  <si>
    <t>shopping_mall</t>
  </si>
  <si>
    <t>clothing_store</t>
  </si>
  <si>
    <t>supermarket</t>
  </si>
  <si>
    <t>gym</t>
  </si>
  <si>
    <t>park</t>
  </si>
  <si>
    <t>library</t>
  </si>
  <si>
    <t>museum</t>
  </si>
  <si>
    <t>tourist_attraction</t>
  </si>
  <si>
    <t>office</t>
  </si>
  <si>
    <t>bank</t>
  </si>
  <si>
    <t>hospital</t>
  </si>
  <si>
    <t>school</t>
  </si>
  <si>
    <t>university</t>
  </si>
  <si>
    <t>Assumption</t>
  </si>
  <si>
    <t>Value</t>
  </si>
  <si>
    <t>Unit</t>
  </si>
  <si>
    <t>Average Spend per Customer</t>
  </si>
  <si>
    <t>per visit</t>
  </si>
  <si>
    <t>Daily Customers per 1000 Foot Traffic</t>
  </si>
  <si>
    <t>people</t>
  </si>
  <si>
    <t>Operating Days per Month</t>
  </si>
  <si>
    <t>days</t>
  </si>
  <si>
    <t>Monthly Rent (Base)</t>
  </si>
  <si>
    <t>per month</t>
  </si>
  <si>
    <t>Staff Cost (Base)</t>
  </si>
  <si>
    <t>Utilities &amp; Other Costs</t>
  </si>
  <si>
    <t>Marketing Budget</t>
  </si>
  <si>
    <t>Expected Profit Margin</t>
  </si>
  <si>
    <t>% of revenue</t>
  </si>
  <si>
    <t>Initial Investment</t>
  </si>
  <si>
    <t>one-time</t>
  </si>
  <si>
    <t>Location</t>
  </si>
  <si>
    <t>Score</t>
  </si>
  <si>
    <t>Foot Traffic</t>
  </si>
  <si>
    <t>Cafe Count</t>
  </si>
  <si>
    <t>Est. Daily Customers</t>
  </si>
  <si>
    <t>Monthly Revenue</t>
  </si>
  <si>
    <t>Monthly Costs</t>
  </si>
  <si>
    <t>Monthly Profit</t>
  </si>
  <si>
    <t>ROI</t>
  </si>
  <si>
    <t>Recommendation</t>
  </si>
  <si>
    <t>Break-even Revenue</t>
  </si>
  <si>
    <t>Customers Needed</t>
  </si>
  <si>
    <t>Profitability Potential</t>
  </si>
  <si>
    <t>Rent Scenario</t>
  </si>
  <si>
    <t>Foot Traffic Scenario</t>
  </si>
  <si>
    <t>Profit Scenario Matrix (Fort)</t>
  </si>
  <si>
    <t>Foot Traffic ↓ / Rent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</si>
</sst>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71" formatCode="&quot;₹&quot;\ #,##0.00"/>
    <numFmt numFmtId="172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3F3F76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14">
    <xf numFmtId="0" fontId="0" fillId="0" borderId="0" xfId="0"/>
    <xf numFmtId="0" fontId="0" fillId="0" borderId="0" xfId="0" applyNumberFormat="1"/>
    <xf numFmtId="6" fontId="0" fillId="0" borderId="0" xfId="0" applyNumberFormat="1"/>
    <xf numFmtId="9" fontId="0" fillId="0" borderId="0" xfId="0" applyNumberFormat="1"/>
    <xf numFmtId="171" fontId="0" fillId="0" borderId="0" xfId="0" applyNumberFormat="1"/>
    <xf numFmtId="0" fontId="2" fillId="2" borderId="1" xfId="2" applyFont="1"/>
    <xf numFmtId="0" fontId="2" fillId="2" borderId="1" xfId="2" applyFont="1" applyAlignment="1">
      <alignment horizontal="center"/>
    </xf>
    <xf numFmtId="9" fontId="2" fillId="3" borderId="0" xfId="0" applyNumberFormat="1" applyFont="1" applyFill="1"/>
    <xf numFmtId="9" fontId="2" fillId="4" borderId="0" xfId="0" applyNumberFormat="1" applyFont="1" applyFill="1"/>
    <xf numFmtId="0" fontId="5" fillId="2" borderId="1" xfId="2" applyFont="1"/>
    <xf numFmtId="0" fontId="2" fillId="5" borderId="0" xfId="0" applyFont="1" applyFill="1"/>
    <xf numFmtId="0" fontId="6" fillId="0" borderId="0" xfId="0" applyFont="1"/>
    <xf numFmtId="172" fontId="2" fillId="2" borderId="1" xfId="2" applyNumberFormat="1" applyFont="1"/>
    <xf numFmtId="172" fontId="0" fillId="0" borderId="0" xfId="1" applyNumberFormat="1" applyFont="1"/>
  </cellXfs>
  <cellStyles count="3">
    <cellStyle name="Normal" xfId="0" builtinId="0"/>
    <cellStyle name="Note" xfId="2" builtinId="1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816F98-8DF5-45A7-8D78-1441E8D376D7}" autoFormatId="16" applyNumberFormats="0" applyBorderFormats="0" applyFontFormats="0" applyPatternFormats="0" applyAlignmentFormats="0" applyWidthHeightFormats="0">
  <queryTableRefresh nextId="9">
    <queryTableFields count="3">
      <queryTableField id="1" name="name" tableColumnId="1"/>
      <queryTableField id="2" name="address" tableColumnId="2"/>
      <queryTableField id="7" name="location_nam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9F79BA-9B02-473D-92CF-AB517265090C}" autoFormatId="16" applyNumberFormats="0" applyBorderFormats="0" applyFontFormats="0" applyPatternFormats="0" applyAlignmentFormats="0" applyWidthHeightFormats="0">
  <queryTableRefresh nextId="22">
    <queryTableFields count="21">
      <queryTableField id="1" name="location_name" tableColumnId="1"/>
      <queryTableField id="2" name="latitude" tableColumnId="2"/>
      <queryTableField id="3" name="longitude" tableColumnId="3"/>
      <queryTableField id="4" name="restaurant" tableColumnId="4"/>
      <queryTableField id="5" name="cafe" tableColumnId="5"/>
      <queryTableField id="6" name="bar" tableColumnId="6"/>
      <queryTableField id="7" name="bakery" tableColumnId="7"/>
      <queryTableField id="8" name="meal_takeaway" tableColumnId="8"/>
      <queryTableField id="9" name="shopping_mall" tableColumnId="9"/>
      <queryTableField id="10" name="clothing_store" tableColumnId="10"/>
      <queryTableField id="11" name="supermarket" tableColumnId="11"/>
      <queryTableField id="12" name="gym" tableColumnId="12"/>
      <queryTableField id="13" name="park" tableColumnId="13"/>
      <queryTableField id="14" name="library" tableColumnId="14"/>
      <queryTableField id="15" name="museum" tableColumnId="15"/>
      <queryTableField id="16" name="tourist_attraction" tableColumnId="16"/>
      <queryTableField id="17" name="office" tableColumnId="17"/>
      <queryTableField id="18" name="bank" tableColumnId="18"/>
      <queryTableField id="19" name="hospital" tableColumnId="19"/>
      <queryTableField id="20" name="school" tableColumnId="20"/>
      <queryTableField id="21" name="university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0B68A-D456-4D2C-8B05-89E0BD23A66F}" name="CompetitorDetails" displayName="CompetitorDetails" ref="A1:C680" tableType="queryTable" totalsRowShown="0">
  <autoFilter ref="A1:C680" xr:uid="{5D30B68A-D456-4D2C-8B05-89E0BD23A66F}"/>
  <tableColumns count="3">
    <tableColumn id="1" xr3:uid="{95C7E9CC-016F-49BC-A585-09472C79BE3A}" uniqueName="1" name="name" queryTableFieldId="1" dataDxfId="4"/>
    <tableColumn id="2" xr3:uid="{AF33E0EE-8816-4765-B575-30D8A4365878}" uniqueName="2" name="address" queryTableFieldId="2" dataDxfId="3"/>
    <tableColumn id="7" xr3:uid="{9EBB6C4E-AC8C-4510-8990-C10932FBA43B}" uniqueName="7" name="location_name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5B01D7-CF16-4B94-A430-0FA5AC7CBD1B}" name="MumbaiLocationAnalysis" displayName="MumbaiLocationAnalysis" ref="A1:U22" tableType="queryTable" totalsRowShown="0">
  <autoFilter ref="A1:U22" xr:uid="{CB5B01D7-CF16-4B94-A430-0FA5AC7CBD1B}"/>
  <tableColumns count="21">
    <tableColumn id="1" xr3:uid="{576B69FE-38FB-4E46-B2DB-37181E04B553}" uniqueName="1" name="location_name" queryTableFieldId="1" dataDxfId="1"/>
    <tableColumn id="2" xr3:uid="{495A1720-B617-4613-8FF5-171FBD05B3A7}" uniqueName="2" name="latitude" queryTableFieldId="2"/>
    <tableColumn id="3" xr3:uid="{C6DCDEDE-23B8-48A9-AA18-2985321F57DD}" uniqueName="3" name="longitude" queryTableFieldId="3"/>
    <tableColumn id="4" xr3:uid="{A78F7926-8476-4038-9728-C3C35394B91A}" uniqueName="4" name="restaurant" queryTableFieldId="4"/>
    <tableColumn id="5" xr3:uid="{302FEA0C-C9D9-4F39-A518-3D3856E8D1EE}" uniqueName="5" name="cafe" queryTableFieldId="5"/>
    <tableColumn id="6" xr3:uid="{054A7CDC-B8D9-4F99-9A41-12C13B709814}" uniqueName="6" name="bar" queryTableFieldId="6"/>
    <tableColumn id="7" xr3:uid="{C5E11DBE-EE62-4341-A193-3D690CCA0B36}" uniqueName="7" name="bakery" queryTableFieldId="7"/>
    <tableColumn id="8" xr3:uid="{D9C3A94B-E375-47C8-950D-24E53C2E6ED7}" uniqueName="8" name="meal_takeaway" queryTableFieldId="8"/>
    <tableColumn id="9" xr3:uid="{9AFEF820-D170-4C88-9C94-84ED21B35933}" uniqueName="9" name="shopping_mall" queryTableFieldId="9"/>
    <tableColumn id="10" xr3:uid="{E5BB7886-A2BA-4A22-9F9D-B4EC9E7C0E34}" uniqueName="10" name="clothing_store" queryTableFieldId="10"/>
    <tableColumn id="11" xr3:uid="{22535FB7-7943-48DD-84B0-CE15DC927A6B}" uniqueName="11" name="supermarket" queryTableFieldId="11"/>
    <tableColumn id="12" xr3:uid="{3A39ED15-4D2B-4E58-88C5-4D39714B3F01}" uniqueName="12" name="gym" queryTableFieldId="12"/>
    <tableColumn id="13" xr3:uid="{D86A033F-93CA-4C05-9F37-7C40857D19DF}" uniqueName="13" name="park" queryTableFieldId="13"/>
    <tableColumn id="14" xr3:uid="{DA71AEE4-59BC-48E0-A716-E7FEE655D3E3}" uniqueName="14" name="library" queryTableFieldId="14"/>
    <tableColumn id="15" xr3:uid="{DBF997BC-C7FE-4EFF-AAE1-45E1C93D8392}" uniqueName="15" name="museum" queryTableFieldId="15"/>
    <tableColumn id="16" xr3:uid="{6F0CE0FB-1FFC-4663-BEE2-2310CE6CA5C8}" uniqueName="16" name="tourist_attraction" queryTableFieldId="16"/>
    <tableColumn id="17" xr3:uid="{3962C168-6A59-4AFC-AB38-2F62F41C5866}" uniqueName="17" name="office" queryTableFieldId="17"/>
    <tableColumn id="18" xr3:uid="{F6E69C04-ECD0-4B30-A5EE-7360517E97F3}" uniqueName="18" name="bank" queryTableFieldId="18"/>
    <tableColumn id="19" xr3:uid="{3CB5F50F-7772-4FCC-919D-67ABABA427A8}" uniqueName="19" name="hospital" queryTableFieldId="19"/>
    <tableColumn id="20" xr3:uid="{412D36CE-36E1-4B05-AB48-24DC948C5E97}" uniqueName="20" name="school" queryTableFieldId="20"/>
    <tableColumn id="21" xr3:uid="{0C983B1A-0B56-4E9A-993B-5628DDFC1B22}" uniqueName="21" name="university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BB32-B8A4-4A2C-B182-69C9F277AF1A}">
  <dimension ref="A1:C680"/>
  <sheetViews>
    <sheetView topLeftCell="A13" workbookViewId="0">
      <selection activeCell="B39" sqref="B39"/>
    </sheetView>
  </sheetViews>
  <sheetFormatPr defaultRowHeight="15" x14ac:dyDescent="0.25"/>
  <cols>
    <col min="1" max="1" width="51.5703125" bestFit="1" customWidth="1"/>
    <col min="2" max="2" width="81.140625" bestFit="1" customWidth="1"/>
    <col min="3" max="3" width="20.7109375" bestFit="1" customWidth="1"/>
    <col min="4" max="4" width="6" bestFit="1" customWidth="1"/>
    <col min="5" max="5" width="8.42578125" bestFit="1" customWidth="1"/>
    <col min="6" max="6" width="10.28515625" bestFit="1" customWidth="1"/>
    <col min="7" max="7" width="20.7109375" bestFit="1" customWidth="1"/>
    <col min="8" max="8" width="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7</v>
      </c>
      <c r="B3" s="1" t="s">
        <v>8</v>
      </c>
      <c r="C3" s="1" t="s">
        <v>5</v>
      </c>
    </row>
    <row r="4" spans="1:3" x14ac:dyDescent="0.25">
      <c r="A4" s="1" t="s">
        <v>9</v>
      </c>
      <c r="B4" s="1" t="s">
        <v>10</v>
      </c>
      <c r="C4" s="1" t="s">
        <v>5</v>
      </c>
    </row>
    <row r="5" spans="1:3" x14ac:dyDescent="0.25">
      <c r="A5" s="1" t="s">
        <v>11</v>
      </c>
      <c r="B5" s="1" t="s">
        <v>12</v>
      </c>
      <c r="C5" s="1" t="s">
        <v>5</v>
      </c>
    </row>
    <row r="6" spans="1:3" x14ac:dyDescent="0.25">
      <c r="A6" s="1" t="s">
        <v>13</v>
      </c>
      <c r="B6" s="1" t="s">
        <v>14</v>
      </c>
      <c r="C6" s="1" t="s">
        <v>5</v>
      </c>
    </row>
    <row r="7" spans="1:3" x14ac:dyDescent="0.25">
      <c r="A7" s="1" t="s">
        <v>15</v>
      </c>
      <c r="B7" s="1" t="s">
        <v>16</v>
      </c>
      <c r="C7" s="1" t="s">
        <v>5</v>
      </c>
    </row>
    <row r="8" spans="1:3" x14ac:dyDescent="0.25">
      <c r="A8" s="1" t="s">
        <v>17</v>
      </c>
      <c r="B8" s="1" t="s">
        <v>18</v>
      </c>
      <c r="C8" s="1" t="s">
        <v>5</v>
      </c>
    </row>
    <row r="9" spans="1:3" x14ac:dyDescent="0.25">
      <c r="A9" s="1" t="s">
        <v>19</v>
      </c>
      <c r="B9" s="1" t="s">
        <v>20</v>
      </c>
      <c r="C9" s="1" t="s">
        <v>5</v>
      </c>
    </row>
    <row r="10" spans="1:3" x14ac:dyDescent="0.25">
      <c r="A10" s="1" t="s">
        <v>21</v>
      </c>
      <c r="B10" s="1" t="s">
        <v>6</v>
      </c>
      <c r="C10" s="1" t="s">
        <v>5</v>
      </c>
    </row>
    <row r="11" spans="1:3" x14ac:dyDescent="0.25">
      <c r="A11" s="1" t="s">
        <v>22</v>
      </c>
      <c r="B11" s="1" t="s">
        <v>23</v>
      </c>
      <c r="C11" s="1" t="s">
        <v>5</v>
      </c>
    </row>
    <row r="12" spans="1:3" x14ac:dyDescent="0.25">
      <c r="A12" s="1" t="s">
        <v>24</v>
      </c>
      <c r="B12" s="1" t="s">
        <v>25</v>
      </c>
      <c r="C12" s="1" t="s">
        <v>5</v>
      </c>
    </row>
    <row r="13" spans="1:3" x14ac:dyDescent="0.25">
      <c r="A13" s="1" t="s">
        <v>26</v>
      </c>
      <c r="B13" s="1" t="s">
        <v>27</v>
      </c>
      <c r="C13" s="1" t="s">
        <v>5</v>
      </c>
    </row>
    <row r="14" spans="1:3" x14ac:dyDescent="0.25">
      <c r="A14" s="1" t="s">
        <v>23</v>
      </c>
      <c r="B14" s="1" t="s">
        <v>28</v>
      </c>
      <c r="C14" s="1" t="s">
        <v>5</v>
      </c>
    </row>
    <row r="15" spans="1:3" x14ac:dyDescent="0.25">
      <c r="A15" s="1" t="s">
        <v>29</v>
      </c>
      <c r="B15" s="1" t="s">
        <v>30</v>
      </c>
      <c r="C15" s="1" t="s">
        <v>5</v>
      </c>
    </row>
    <row r="16" spans="1:3" x14ac:dyDescent="0.25">
      <c r="A16" s="1" t="s">
        <v>31</v>
      </c>
      <c r="B16" s="1" t="s">
        <v>32</v>
      </c>
      <c r="C16" s="1" t="s">
        <v>5</v>
      </c>
    </row>
    <row r="17" spans="1:3" x14ac:dyDescent="0.25">
      <c r="A17" s="1" t="s">
        <v>33</v>
      </c>
      <c r="B17" s="1" t="s">
        <v>34</v>
      </c>
      <c r="C17" s="1" t="s">
        <v>5</v>
      </c>
    </row>
    <row r="18" spans="1:3" x14ac:dyDescent="0.25">
      <c r="A18" s="1" t="s">
        <v>35</v>
      </c>
      <c r="B18" s="1" t="s">
        <v>6</v>
      </c>
      <c r="C18" s="1" t="s">
        <v>5</v>
      </c>
    </row>
    <row r="19" spans="1:3" x14ac:dyDescent="0.25">
      <c r="A19" s="1" t="s">
        <v>36</v>
      </c>
      <c r="B19" s="1" t="s">
        <v>37</v>
      </c>
      <c r="C19" s="1" t="s">
        <v>5</v>
      </c>
    </row>
    <row r="20" spans="1:3" x14ac:dyDescent="0.25">
      <c r="A20" s="1" t="s">
        <v>38</v>
      </c>
      <c r="B20" s="1" t="s">
        <v>30</v>
      </c>
      <c r="C20" s="1" t="s">
        <v>5</v>
      </c>
    </row>
    <row r="21" spans="1:3" x14ac:dyDescent="0.25">
      <c r="A21" s="1" t="s">
        <v>39</v>
      </c>
      <c r="B21" s="1" t="s">
        <v>40</v>
      </c>
      <c r="C21" s="1" t="s">
        <v>5</v>
      </c>
    </row>
    <row r="22" spans="1:3" x14ac:dyDescent="0.25">
      <c r="A22" s="1" t="s">
        <v>41</v>
      </c>
      <c r="B22" s="1" t="s">
        <v>42</v>
      </c>
      <c r="C22" s="1" t="s">
        <v>5</v>
      </c>
    </row>
    <row r="23" spans="1:3" x14ac:dyDescent="0.25">
      <c r="A23" s="1" t="s">
        <v>43</v>
      </c>
      <c r="B23" s="1" t="s">
        <v>6</v>
      </c>
      <c r="C23" s="1" t="s">
        <v>5</v>
      </c>
    </row>
    <row r="24" spans="1:3" x14ac:dyDescent="0.25">
      <c r="A24" s="1" t="s">
        <v>44</v>
      </c>
      <c r="B24" s="1" t="s">
        <v>45</v>
      </c>
      <c r="C24" s="1" t="s">
        <v>5</v>
      </c>
    </row>
    <row r="25" spans="1:3" x14ac:dyDescent="0.25">
      <c r="A25" s="1" t="s">
        <v>46</v>
      </c>
      <c r="B25" s="1" t="s">
        <v>6</v>
      </c>
      <c r="C25" s="1" t="s">
        <v>5</v>
      </c>
    </row>
    <row r="26" spans="1:3" x14ac:dyDescent="0.25">
      <c r="A26" s="1" t="s">
        <v>47</v>
      </c>
      <c r="B26" s="1" t="s">
        <v>48</v>
      </c>
      <c r="C26" s="1" t="s">
        <v>5</v>
      </c>
    </row>
    <row r="27" spans="1:3" x14ac:dyDescent="0.25">
      <c r="A27" s="1" t="s">
        <v>49</v>
      </c>
      <c r="B27" s="1" t="s">
        <v>6</v>
      </c>
      <c r="C27" s="1" t="s">
        <v>5</v>
      </c>
    </row>
    <row r="28" spans="1:3" x14ac:dyDescent="0.25">
      <c r="A28" s="1" t="s">
        <v>50</v>
      </c>
      <c r="B28" s="1" t="s">
        <v>51</v>
      </c>
      <c r="C28" s="1" t="s">
        <v>5</v>
      </c>
    </row>
    <row r="29" spans="1:3" x14ac:dyDescent="0.25">
      <c r="A29" s="1" t="s">
        <v>52</v>
      </c>
      <c r="B29" s="1" t="s">
        <v>53</v>
      </c>
      <c r="C29" s="1" t="s">
        <v>5</v>
      </c>
    </row>
    <row r="30" spans="1:3" x14ac:dyDescent="0.25">
      <c r="A30" s="1" t="s">
        <v>54</v>
      </c>
      <c r="B30" s="1" t="s">
        <v>53</v>
      </c>
      <c r="C30" s="1" t="s">
        <v>5</v>
      </c>
    </row>
    <row r="31" spans="1:3" x14ac:dyDescent="0.25">
      <c r="A31" s="1" t="s">
        <v>55</v>
      </c>
      <c r="B31" s="1" t="s">
        <v>53</v>
      </c>
      <c r="C31" s="1" t="s">
        <v>5</v>
      </c>
    </row>
    <row r="32" spans="1:3" x14ac:dyDescent="0.25">
      <c r="A32" s="1" t="s">
        <v>54</v>
      </c>
      <c r="B32" s="1" t="s">
        <v>56</v>
      </c>
      <c r="C32" s="1" t="s">
        <v>5</v>
      </c>
    </row>
    <row r="33" spans="1:3" x14ac:dyDescent="0.25">
      <c r="A33" s="1" t="s">
        <v>57</v>
      </c>
      <c r="B33" s="1" t="s">
        <v>53</v>
      </c>
      <c r="C33" s="1" t="s">
        <v>5</v>
      </c>
    </row>
    <row r="34" spans="1:3" x14ac:dyDescent="0.25">
      <c r="A34" s="1" t="s">
        <v>58</v>
      </c>
      <c r="B34" s="1" t="s">
        <v>59</v>
      </c>
      <c r="C34" s="1" t="s">
        <v>5</v>
      </c>
    </row>
    <row r="35" spans="1:3" x14ac:dyDescent="0.25">
      <c r="A35" s="1" t="s">
        <v>60</v>
      </c>
      <c r="B35" s="1" t="s">
        <v>61</v>
      </c>
      <c r="C35" s="1" t="s">
        <v>5</v>
      </c>
    </row>
    <row r="36" spans="1:3" x14ac:dyDescent="0.25">
      <c r="A36" s="1" t="s">
        <v>62</v>
      </c>
      <c r="B36" s="1" t="s">
        <v>63</v>
      </c>
      <c r="C36" s="1" t="s">
        <v>5</v>
      </c>
    </row>
    <row r="37" spans="1:3" x14ac:dyDescent="0.25">
      <c r="A37" s="1" t="s">
        <v>64</v>
      </c>
      <c r="B37" s="1" t="s">
        <v>65</v>
      </c>
      <c r="C37" s="1" t="s">
        <v>5</v>
      </c>
    </row>
    <row r="38" spans="1:3" x14ac:dyDescent="0.25">
      <c r="A38" s="1" t="s">
        <v>66</v>
      </c>
      <c r="B38" s="1" t="s">
        <v>67</v>
      </c>
      <c r="C38" s="1" t="s">
        <v>68</v>
      </c>
    </row>
    <row r="39" spans="1:3" x14ac:dyDescent="0.25">
      <c r="A39" s="1" t="s">
        <v>69</v>
      </c>
      <c r="B39" s="1" t="s">
        <v>70</v>
      </c>
      <c r="C39" s="1" t="s">
        <v>68</v>
      </c>
    </row>
    <row r="40" spans="1:3" x14ac:dyDescent="0.25">
      <c r="A40" s="1" t="s">
        <v>71</v>
      </c>
      <c r="B40" s="1" t="s">
        <v>72</v>
      </c>
      <c r="C40" s="1" t="s">
        <v>68</v>
      </c>
    </row>
    <row r="41" spans="1:3" x14ac:dyDescent="0.25">
      <c r="A41" s="1" t="s">
        <v>73</v>
      </c>
      <c r="B41" s="1" t="s">
        <v>74</v>
      </c>
      <c r="C41" s="1" t="s">
        <v>68</v>
      </c>
    </row>
    <row r="42" spans="1:3" x14ac:dyDescent="0.25">
      <c r="A42" s="1" t="s">
        <v>38</v>
      </c>
      <c r="B42" s="1" t="s">
        <v>75</v>
      </c>
      <c r="C42" s="1" t="s">
        <v>68</v>
      </c>
    </row>
    <row r="43" spans="1:3" x14ac:dyDescent="0.25">
      <c r="A43" s="1" t="s">
        <v>76</v>
      </c>
      <c r="B43" s="1" t="s">
        <v>77</v>
      </c>
      <c r="C43" s="1" t="s">
        <v>68</v>
      </c>
    </row>
    <row r="44" spans="1:3" x14ac:dyDescent="0.25">
      <c r="A44" s="1" t="s">
        <v>78</v>
      </c>
      <c r="B44" s="1" t="s">
        <v>79</v>
      </c>
      <c r="C44" s="1" t="s">
        <v>68</v>
      </c>
    </row>
    <row r="45" spans="1:3" x14ac:dyDescent="0.25">
      <c r="A45" s="1" t="s">
        <v>80</v>
      </c>
      <c r="B45" s="1" t="s">
        <v>81</v>
      </c>
      <c r="C45" s="1" t="s">
        <v>68</v>
      </c>
    </row>
    <row r="46" spans="1:3" x14ac:dyDescent="0.25">
      <c r="A46" s="1" t="s">
        <v>82</v>
      </c>
      <c r="B46" s="1" t="s">
        <v>83</v>
      </c>
      <c r="C46" s="1" t="s">
        <v>68</v>
      </c>
    </row>
    <row r="47" spans="1:3" x14ac:dyDescent="0.25">
      <c r="A47" s="1" t="s">
        <v>84</v>
      </c>
      <c r="B47" s="1" t="s">
        <v>85</v>
      </c>
      <c r="C47" s="1" t="s">
        <v>68</v>
      </c>
    </row>
    <row r="48" spans="1:3" x14ac:dyDescent="0.25">
      <c r="A48" s="1" t="s">
        <v>86</v>
      </c>
      <c r="B48" s="1" t="s">
        <v>87</v>
      </c>
      <c r="C48" s="1" t="s">
        <v>68</v>
      </c>
    </row>
    <row r="49" spans="1:3" x14ac:dyDescent="0.25">
      <c r="A49" s="1" t="s">
        <v>88</v>
      </c>
      <c r="B49" s="1" t="s">
        <v>89</v>
      </c>
      <c r="C49" s="1" t="s">
        <v>68</v>
      </c>
    </row>
    <row r="50" spans="1:3" x14ac:dyDescent="0.25">
      <c r="A50" s="1" t="s">
        <v>90</v>
      </c>
      <c r="B50" s="1" t="s">
        <v>91</v>
      </c>
      <c r="C50" s="1" t="s">
        <v>68</v>
      </c>
    </row>
    <row r="51" spans="1:3" x14ac:dyDescent="0.25">
      <c r="A51" s="1" t="s">
        <v>38</v>
      </c>
      <c r="B51" s="1" t="s">
        <v>92</v>
      </c>
      <c r="C51" s="1" t="s">
        <v>68</v>
      </c>
    </row>
    <row r="52" spans="1:3" x14ac:dyDescent="0.25">
      <c r="A52" s="1" t="s">
        <v>93</v>
      </c>
      <c r="B52" s="1" t="s">
        <v>34</v>
      </c>
      <c r="C52" s="1" t="s">
        <v>68</v>
      </c>
    </row>
    <row r="53" spans="1:3" x14ac:dyDescent="0.25">
      <c r="A53" s="1" t="s">
        <v>94</v>
      </c>
      <c r="B53" s="1" t="s">
        <v>95</v>
      </c>
      <c r="C53" s="1" t="s">
        <v>68</v>
      </c>
    </row>
    <row r="54" spans="1:3" x14ac:dyDescent="0.25">
      <c r="A54" s="1" t="s">
        <v>96</v>
      </c>
      <c r="B54" s="1" t="s">
        <v>97</v>
      </c>
      <c r="C54" s="1" t="s">
        <v>68</v>
      </c>
    </row>
    <row r="55" spans="1:3" x14ac:dyDescent="0.25">
      <c r="A55" s="1" t="s">
        <v>98</v>
      </c>
      <c r="B55" s="1" t="s">
        <v>99</v>
      </c>
      <c r="C55" s="1" t="s">
        <v>68</v>
      </c>
    </row>
    <row r="56" spans="1:3" x14ac:dyDescent="0.25">
      <c r="A56" s="1" t="s">
        <v>100</v>
      </c>
      <c r="B56" s="1" t="s">
        <v>101</v>
      </c>
      <c r="C56" s="1" t="s">
        <v>68</v>
      </c>
    </row>
    <row r="57" spans="1:3" x14ac:dyDescent="0.25">
      <c r="A57" s="1" t="s">
        <v>102</v>
      </c>
      <c r="B57" s="1" t="s">
        <v>103</v>
      </c>
      <c r="C57" s="1" t="s">
        <v>68</v>
      </c>
    </row>
    <row r="58" spans="1:3" x14ac:dyDescent="0.25">
      <c r="A58" s="1" t="s">
        <v>104</v>
      </c>
      <c r="B58" s="1" t="s">
        <v>105</v>
      </c>
      <c r="C58" s="1" t="s">
        <v>68</v>
      </c>
    </row>
    <row r="59" spans="1:3" x14ac:dyDescent="0.25">
      <c r="A59" s="1" t="s">
        <v>106</v>
      </c>
      <c r="B59" s="1" t="s">
        <v>107</v>
      </c>
      <c r="C59" s="1" t="s">
        <v>68</v>
      </c>
    </row>
    <row r="60" spans="1:3" x14ac:dyDescent="0.25">
      <c r="A60" s="1" t="s">
        <v>108</v>
      </c>
      <c r="B60" s="1" t="s">
        <v>109</v>
      </c>
      <c r="C60" s="1" t="s">
        <v>68</v>
      </c>
    </row>
    <row r="61" spans="1:3" x14ac:dyDescent="0.25">
      <c r="A61" s="1" t="s">
        <v>110</v>
      </c>
      <c r="B61" s="1" t="s">
        <v>111</v>
      </c>
      <c r="C61" s="1" t="s">
        <v>68</v>
      </c>
    </row>
    <row r="62" spans="1:3" x14ac:dyDescent="0.25">
      <c r="A62" s="1" t="s">
        <v>112</v>
      </c>
      <c r="B62" s="1" t="s">
        <v>113</v>
      </c>
      <c r="C62" s="1" t="s">
        <v>68</v>
      </c>
    </row>
    <row r="63" spans="1:3" x14ac:dyDescent="0.25">
      <c r="A63" s="1" t="s">
        <v>114</v>
      </c>
      <c r="B63" s="1" t="s">
        <v>115</v>
      </c>
      <c r="C63" s="1" t="s">
        <v>68</v>
      </c>
    </row>
    <row r="64" spans="1:3" x14ac:dyDescent="0.25">
      <c r="A64" s="1" t="s">
        <v>116</v>
      </c>
      <c r="B64" s="1" t="s">
        <v>117</v>
      </c>
      <c r="C64" s="1" t="s">
        <v>68</v>
      </c>
    </row>
    <row r="65" spans="1:3" x14ac:dyDescent="0.25">
      <c r="A65" s="1" t="s">
        <v>118</v>
      </c>
      <c r="B65" s="1" t="s">
        <v>119</v>
      </c>
      <c r="C65" s="1" t="s">
        <v>68</v>
      </c>
    </row>
    <row r="66" spans="1:3" x14ac:dyDescent="0.25">
      <c r="A66" s="1" t="s">
        <v>120</v>
      </c>
      <c r="B66" s="1" t="s">
        <v>121</v>
      </c>
      <c r="C66" s="1" t="s">
        <v>68</v>
      </c>
    </row>
    <row r="67" spans="1:3" x14ac:dyDescent="0.25">
      <c r="A67" s="1" t="s">
        <v>122</v>
      </c>
      <c r="B67" s="1" t="s">
        <v>123</v>
      </c>
      <c r="C67" s="1" t="s">
        <v>68</v>
      </c>
    </row>
    <row r="68" spans="1:3" x14ac:dyDescent="0.25">
      <c r="A68" s="1" t="s">
        <v>124</v>
      </c>
      <c r="B68" s="1" t="s">
        <v>125</v>
      </c>
      <c r="C68" s="1" t="s">
        <v>68</v>
      </c>
    </row>
    <row r="69" spans="1:3" x14ac:dyDescent="0.25">
      <c r="A69" s="1" t="s">
        <v>126</v>
      </c>
      <c r="B69" s="1" t="s">
        <v>127</v>
      </c>
      <c r="C69" s="1" t="s">
        <v>68</v>
      </c>
    </row>
    <row r="70" spans="1:3" x14ac:dyDescent="0.25">
      <c r="A70" s="1" t="s">
        <v>128</v>
      </c>
      <c r="B70" s="1" t="s">
        <v>129</v>
      </c>
      <c r="C70" s="1" t="s">
        <v>68</v>
      </c>
    </row>
    <row r="71" spans="1:3" x14ac:dyDescent="0.25">
      <c r="A71" s="1" t="s">
        <v>130</v>
      </c>
      <c r="B71" s="1" t="s">
        <v>131</v>
      </c>
      <c r="C71" s="1" t="s">
        <v>68</v>
      </c>
    </row>
    <row r="72" spans="1:3" x14ac:dyDescent="0.25">
      <c r="A72" s="1" t="s">
        <v>132</v>
      </c>
      <c r="B72" s="1" t="s">
        <v>133</v>
      </c>
      <c r="C72" s="1" t="s">
        <v>68</v>
      </c>
    </row>
    <row r="73" spans="1:3" x14ac:dyDescent="0.25">
      <c r="A73" s="1" t="s">
        <v>134</v>
      </c>
      <c r="B73" s="1" t="s">
        <v>6</v>
      </c>
      <c r="C73" s="1" t="s">
        <v>68</v>
      </c>
    </row>
    <row r="74" spans="1:3" x14ac:dyDescent="0.25">
      <c r="A74" s="1" t="s">
        <v>135</v>
      </c>
      <c r="B74" s="1" t="s">
        <v>136</v>
      </c>
      <c r="C74" s="1" t="s">
        <v>68</v>
      </c>
    </row>
    <row r="75" spans="1:3" x14ac:dyDescent="0.25">
      <c r="A75" s="1" t="s">
        <v>137</v>
      </c>
      <c r="B75" s="1" t="s">
        <v>138</v>
      </c>
      <c r="C75" s="1" t="s">
        <v>68</v>
      </c>
    </row>
    <row r="76" spans="1:3" x14ac:dyDescent="0.25">
      <c r="A76" s="1" t="s">
        <v>139</v>
      </c>
      <c r="B76" s="1" t="s">
        <v>140</v>
      </c>
      <c r="C76" s="1" t="s">
        <v>68</v>
      </c>
    </row>
    <row r="77" spans="1:3" x14ac:dyDescent="0.25">
      <c r="A77" s="1" t="s">
        <v>141</v>
      </c>
      <c r="B77" s="1" t="s">
        <v>142</v>
      </c>
      <c r="C77" s="1" t="s">
        <v>68</v>
      </c>
    </row>
    <row r="78" spans="1:3" x14ac:dyDescent="0.25">
      <c r="A78" s="1" t="s">
        <v>143</v>
      </c>
      <c r="B78" s="1" t="s">
        <v>6</v>
      </c>
      <c r="C78" s="1" t="s">
        <v>68</v>
      </c>
    </row>
    <row r="79" spans="1:3" x14ac:dyDescent="0.25">
      <c r="A79" s="1" t="s">
        <v>144</v>
      </c>
      <c r="B79" s="1" t="s">
        <v>145</v>
      </c>
      <c r="C79" s="1" t="s">
        <v>68</v>
      </c>
    </row>
    <row r="80" spans="1:3" x14ac:dyDescent="0.25">
      <c r="A80" s="1" t="s">
        <v>146</v>
      </c>
      <c r="B80" s="1" t="s">
        <v>6</v>
      </c>
      <c r="C80" s="1" t="s">
        <v>68</v>
      </c>
    </row>
    <row r="81" spans="1:3" x14ac:dyDescent="0.25">
      <c r="A81" s="1" t="s">
        <v>147</v>
      </c>
      <c r="B81" s="1" t="s">
        <v>148</v>
      </c>
      <c r="C81" s="1" t="s">
        <v>68</v>
      </c>
    </row>
    <row r="82" spans="1:3" x14ac:dyDescent="0.25">
      <c r="A82" s="1" t="s">
        <v>149</v>
      </c>
      <c r="B82" s="1" t="s">
        <v>68</v>
      </c>
      <c r="C82" s="1" t="s">
        <v>68</v>
      </c>
    </row>
    <row r="83" spans="1:3" x14ac:dyDescent="0.25">
      <c r="A83" s="1" t="s">
        <v>150</v>
      </c>
      <c r="B83" s="1" t="s">
        <v>151</v>
      </c>
      <c r="C83" s="1" t="s">
        <v>68</v>
      </c>
    </row>
    <row r="84" spans="1:3" x14ac:dyDescent="0.25">
      <c r="A84" s="1" t="s">
        <v>152</v>
      </c>
      <c r="B84" s="1" t="s">
        <v>153</v>
      </c>
      <c r="C84" s="1" t="s">
        <v>68</v>
      </c>
    </row>
    <row r="85" spans="1:3" x14ac:dyDescent="0.25">
      <c r="A85" s="1" t="s">
        <v>154</v>
      </c>
      <c r="B85" s="1" t="s">
        <v>155</v>
      </c>
      <c r="C85" s="1" t="s">
        <v>68</v>
      </c>
    </row>
    <row r="86" spans="1:3" x14ac:dyDescent="0.25">
      <c r="A86" s="1" t="s">
        <v>156</v>
      </c>
      <c r="B86" s="1" t="s">
        <v>157</v>
      </c>
      <c r="C86" s="1" t="s">
        <v>68</v>
      </c>
    </row>
    <row r="87" spans="1:3" x14ac:dyDescent="0.25">
      <c r="A87" s="1" t="s">
        <v>158</v>
      </c>
      <c r="B87" s="1" t="s">
        <v>159</v>
      </c>
      <c r="C87" s="1" t="s">
        <v>68</v>
      </c>
    </row>
    <row r="88" spans="1:3" x14ac:dyDescent="0.25">
      <c r="A88" s="1" t="s">
        <v>160</v>
      </c>
      <c r="B88" s="1" t="s">
        <v>6</v>
      </c>
      <c r="C88" s="1" t="s">
        <v>93</v>
      </c>
    </row>
    <row r="89" spans="1:3" x14ac:dyDescent="0.25">
      <c r="A89" s="1" t="s">
        <v>120</v>
      </c>
      <c r="B89" s="1" t="s">
        <v>121</v>
      </c>
      <c r="C89" s="1" t="s">
        <v>93</v>
      </c>
    </row>
    <row r="90" spans="1:3" x14ac:dyDescent="0.25">
      <c r="A90" s="1" t="s">
        <v>161</v>
      </c>
      <c r="B90" s="1" t="s">
        <v>6</v>
      </c>
      <c r="C90" s="1" t="s">
        <v>93</v>
      </c>
    </row>
    <row r="91" spans="1:3" x14ac:dyDescent="0.25">
      <c r="A91" s="1" t="s">
        <v>104</v>
      </c>
      <c r="B91" s="1" t="s">
        <v>105</v>
      </c>
      <c r="C91" s="1" t="s">
        <v>93</v>
      </c>
    </row>
    <row r="92" spans="1:3" x14ac:dyDescent="0.25">
      <c r="A92" s="1" t="s">
        <v>141</v>
      </c>
      <c r="B92" s="1" t="s">
        <v>142</v>
      </c>
      <c r="C92" s="1" t="s">
        <v>93</v>
      </c>
    </row>
    <row r="93" spans="1:3" x14ac:dyDescent="0.25">
      <c r="A93" s="1" t="s">
        <v>130</v>
      </c>
      <c r="B93" s="1" t="s">
        <v>131</v>
      </c>
      <c r="C93" s="1" t="s">
        <v>93</v>
      </c>
    </row>
    <row r="94" spans="1:3" x14ac:dyDescent="0.25">
      <c r="A94" s="1" t="s">
        <v>106</v>
      </c>
      <c r="B94" s="1" t="s">
        <v>107</v>
      </c>
      <c r="C94" s="1" t="s">
        <v>93</v>
      </c>
    </row>
    <row r="95" spans="1:3" x14ac:dyDescent="0.25">
      <c r="A95" s="1" t="s">
        <v>152</v>
      </c>
      <c r="B95" s="1" t="s">
        <v>153</v>
      </c>
      <c r="C95" s="1" t="s">
        <v>93</v>
      </c>
    </row>
    <row r="96" spans="1:3" x14ac:dyDescent="0.25">
      <c r="A96" s="1" t="s">
        <v>139</v>
      </c>
      <c r="B96" s="1" t="s">
        <v>140</v>
      </c>
      <c r="C96" s="1" t="s">
        <v>93</v>
      </c>
    </row>
    <row r="97" spans="1:3" x14ac:dyDescent="0.25">
      <c r="A97" s="1" t="s">
        <v>147</v>
      </c>
      <c r="B97" s="1" t="s">
        <v>148</v>
      </c>
      <c r="C97" s="1" t="s">
        <v>93</v>
      </c>
    </row>
    <row r="98" spans="1:3" x14ac:dyDescent="0.25">
      <c r="A98" s="1" t="s">
        <v>82</v>
      </c>
      <c r="B98" s="1" t="s">
        <v>83</v>
      </c>
      <c r="C98" s="1" t="s">
        <v>93</v>
      </c>
    </row>
    <row r="99" spans="1:3" x14ac:dyDescent="0.25">
      <c r="A99" s="1" t="s">
        <v>162</v>
      </c>
      <c r="B99" s="1" t="s">
        <v>163</v>
      </c>
      <c r="C99" s="1" t="s">
        <v>93</v>
      </c>
    </row>
    <row r="100" spans="1:3" x14ac:dyDescent="0.25">
      <c r="A100" s="1" t="s">
        <v>137</v>
      </c>
      <c r="B100" s="1" t="s">
        <v>138</v>
      </c>
      <c r="C100" s="1" t="s">
        <v>93</v>
      </c>
    </row>
    <row r="101" spans="1:3" x14ac:dyDescent="0.25">
      <c r="A101" s="1" t="s">
        <v>164</v>
      </c>
      <c r="B101" s="1" t="s">
        <v>165</v>
      </c>
      <c r="C101" s="1" t="s">
        <v>93</v>
      </c>
    </row>
    <row r="102" spans="1:3" x14ac:dyDescent="0.25">
      <c r="A102" s="1" t="s">
        <v>80</v>
      </c>
      <c r="B102" s="1" t="s">
        <v>81</v>
      </c>
      <c r="C102" s="1" t="s">
        <v>93</v>
      </c>
    </row>
    <row r="103" spans="1:3" x14ac:dyDescent="0.25">
      <c r="A103" s="1" t="s">
        <v>166</v>
      </c>
      <c r="B103" s="1" t="s">
        <v>167</v>
      </c>
      <c r="C103" s="1" t="s">
        <v>93</v>
      </c>
    </row>
    <row r="104" spans="1:3" x14ac:dyDescent="0.25">
      <c r="A104" s="1" t="s">
        <v>168</v>
      </c>
      <c r="B104" s="1" t="s">
        <v>169</v>
      </c>
      <c r="C104" s="1" t="s">
        <v>93</v>
      </c>
    </row>
    <row r="105" spans="1:3" x14ac:dyDescent="0.25">
      <c r="A105" s="1" t="s">
        <v>93</v>
      </c>
      <c r="B105" s="1" t="s">
        <v>34</v>
      </c>
      <c r="C105" s="1" t="s">
        <v>93</v>
      </c>
    </row>
    <row r="106" spans="1:3" x14ac:dyDescent="0.25">
      <c r="A106" s="1" t="s">
        <v>170</v>
      </c>
      <c r="B106" s="1" t="s">
        <v>171</v>
      </c>
      <c r="C106" s="1" t="s">
        <v>93</v>
      </c>
    </row>
    <row r="107" spans="1:3" x14ac:dyDescent="0.25">
      <c r="A107" s="1" t="s">
        <v>172</v>
      </c>
      <c r="B107" s="1" t="s">
        <v>173</v>
      </c>
      <c r="C107" s="1" t="s">
        <v>93</v>
      </c>
    </row>
    <row r="108" spans="1:3" x14ac:dyDescent="0.25">
      <c r="A108" s="1" t="s">
        <v>174</v>
      </c>
      <c r="B108" s="1" t="s">
        <v>6</v>
      </c>
      <c r="C108" s="1" t="s">
        <v>93</v>
      </c>
    </row>
    <row r="109" spans="1:3" x14ac:dyDescent="0.25">
      <c r="A109" s="1" t="s">
        <v>118</v>
      </c>
      <c r="B109" s="1" t="s">
        <v>119</v>
      </c>
      <c r="C109" s="1" t="s">
        <v>93</v>
      </c>
    </row>
    <row r="110" spans="1:3" x14ac:dyDescent="0.25">
      <c r="A110" s="1" t="s">
        <v>73</v>
      </c>
      <c r="B110" s="1" t="s">
        <v>74</v>
      </c>
      <c r="C110" s="1" t="s">
        <v>93</v>
      </c>
    </row>
    <row r="111" spans="1:3" x14ac:dyDescent="0.25">
      <c r="A111" s="1" t="s">
        <v>76</v>
      </c>
      <c r="B111" s="1" t="s">
        <v>77</v>
      </c>
      <c r="C111" s="1" t="s">
        <v>93</v>
      </c>
    </row>
    <row r="112" spans="1:3" x14ac:dyDescent="0.25">
      <c r="A112" s="1" t="s">
        <v>175</v>
      </c>
      <c r="B112" s="1" t="s">
        <v>176</v>
      </c>
      <c r="C112" s="1" t="s">
        <v>93</v>
      </c>
    </row>
    <row r="113" spans="1:3" x14ac:dyDescent="0.25">
      <c r="A113" s="1" t="s">
        <v>177</v>
      </c>
      <c r="B113" s="1" t="s">
        <v>178</v>
      </c>
      <c r="C113" s="1" t="s">
        <v>93</v>
      </c>
    </row>
    <row r="114" spans="1:3" x14ac:dyDescent="0.25">
      <c r="A114" s="1" t="s">
        <v>179</v>
      </c>
      <c r="B114" s="1" t="s">
        <v>180</v>
      </c>
      <c r="C114" s="1" t="s">
        <v>93</v>
      </c>
    </row>
    <row r="115" spans="1:3" x14ac:dyDescent="0.25">
      <c r="A115" s="1" t="s">
        <v>181</v>
      </c>
      <c r="B115" s="1" t="s">
        <v>182</v>
      </c>
      <c r="C115" s="1" t="s">
        <v>93</v>
      </c>
    </row>
    <row r="116" spans="1:3" x14ac:dyDescent="0.25">
      <c r="A116" s="1" t="s">
        <v>38</v>
      </c>
      <c r="B116" s="1" t="s">
        <v>75</v>
      </c>
      <c r="C116" s="1" t="s">
        <v>93</v>
      </c>
    </row>
    <row r="117" spans="1:3" x14ac:dyDescent="0.25">
      <c r="A117" s="1" t="s">
        <v>183</v>
      </c>
      <c r="B117" s="1" t="s">
        <v>6</v>
      </c>
      <c r="C117" s="1" t="s">
        <v>93</v>
      </c>
    </row>
    <row r="118" spans="1:3" x14ac:dyDescent="0.25">
      <c r="A118" s="1" t="s">
        <v>71</v>
      </c>
      <c r="B118" s="1" t="s">
        <v>72</v>
      </c>
      <c r="C118" s="1" t="s">
        <v>93</v>
      </c>
    </row>
    <row r="119" spans="1:3" x14ac:dyDescent="0.25">
      <c r="A119" s="1" t="s">
        <v>184</v>
      </c>
      <c r="B119" s="1" t="s">
        <v>185</v>
      </c>
      <c r="C119" s="1" t="s">
        <v>93</v>
      </c>
    </row>
    <row r="120" spans="1:3" x14ac:dyDescent="0.25">
      <c r="A120" s="1" t="s">
        <v>116</v>
      </c>
      <c r="B120" s="1" t="s">
        <v>117</v>
      </c>
      <c r="C120" s="1" t="s">
        <v>93</v>
      </c>
    </row>
    <row r="121" spans="1:3" x14ac:dyDescent="0.25">
      <c r="A121" s="1" t="s">
        <v>186</v>
      </c>
      <c r="B121" s="1" t="s">
        <v>187</v>
      </c>
      <c r="C121" s="1" t="s">
        <v>93</v>
      </c>
    </row>
    <row r="122" spans="1:3" x14ac:dyDescent="0.25">
      <c r="A122" s="1" t="s">
        <v>11</v>
      </c>
      <c r="B122" s="1" t="s">
        <v>188</v>
      </c>
      <c r="C122" s="1" t="s">
        <v>93</v>
      </c>
    </row>
    <row r="123" spans="1:3" x14ac:dyDescent="0.25">
      <c r="A123" s="1" t="s">
        <v>78</v>
      </c>
      <c r="B123" s="1" t="s">
        <v>79</v>
      </c>
      <c r="C123" s="1" t="s">
        <v>93</v>
      </c>
    </row>
    <row r="124" spans="1:3" x14ac:dyDescent="0.25">
      <c r="A124" s="1" t="s">
        <v>189</v>
      </c>
      <c r="B124" s="1" t="s">
        <v>6</v>
      </c>
      <c r="C124" s="1" t="s">
        <v>93</v>
      </c>
    </row>
    <row r="125" spans="1:3" x14ac:dyDescent="0.25">
      <c r="A125" s="1" t="s">
        <v>190</v>
      </c>
      <c r="B125" s="1" t="s">
        <v>191</v>
      </c>
      <c r="C125" s="1" t="s">
        <v>93</v>
      </c>
    </row>
    <row r="126" spans="1:3" x14ac:dyDescent="0.25">
      <c r="A126" s="1" t="s">
        <v>192</v>
      </c>
      <c r="B126" s="1" t="s">
        <v>193</v>
      </c>
      <c r="C126" s="1" t="s">
        <v>93</v>
      </c>
    </row>
    <row r="127" spans="1:3" x14ac:dyDescent="0.25">
      <c r="A127" s="1" t="s">
        <v>194</v>
      </c>
      <c r="B127" s="1" t="s">
        <v>195</v>
      </c>
      <c r="C127" s="1" t="s">
        <v>93</v>
      </c>
    </row>
    <row r="128" spans="1:3" x14ac:dyDescent="0.25">
      <c r="A128" s="1" t="s">
        <v>69</v>
      </c>
      <c r="B128" s="1" t="s">
        <v>70</v>
      </c>
      <c r="C128" s="1" t="s">
        <v>93</v>
      </c>
    </row>
    <row r="129" spans="1:3" x14ac:dyDescent="0.25">
      <c r="A129" s="1" t="s">
        <v>196</v>
      </c>
      <c r="B129" s="1" t="s">
        <v>197</v>
      </c>
      <c r="C129" s="1" t="s">
        <v>93</v>
      </c>
    </row>
    <row r="130" spans="1:3" x14ac:dyDescent="0.25">
      <c r="A130" s="1" t="s">
        <v>66</v>
      </c>
      <c r="B130" s="1" t="s">
        <v>67</v>
      </c>
      <c r="C130" s="1" t="s">
        <v>93</v>
      </c>
    </row>
    <row r="131" spans="1:3" x14ac:dyDescent="0.25">
      <c r="A131" s="1" t="s">
        <v>94</v>
      </c>
      <c r="B131" s="1" t="s">
        <v>95</v>
      </c>
      <c r="C131" s="1" t="s">
        <v>93</v>
      </c>
    </row>
    <row r="132" spans="1:3" x14ac:dyDescent="0.25">
      <c r="A132" s="1" t="s">
        <v>198</v>
      </c>
      <c r="B132" s="1" t="s">
        <v>199</v>
      </c>
      <c r="C132" s="1" t="s">
        <v>93</v>
      </c>
    </row>
    <row r="133" spans="1:3" x14ac:dyDescent="0.25">
      <c r="A133" s="1" t="s">
        <v>200</v>
      </c>
      <c r="B133" s="1" t="s">
        <v>201</v>
      </c>
      <c r="C133" s="1" t="s">
        <v>93</v>
      </c>
    </row>
    <row r="134" spans="1:3" x14ac:dyDescent="0.25">
      <c r="A134" s="1" t="s">
        <v>202</v>
      </c>
      <c r="B134" s="1" t="s">
        <v>191</v>
      </c>
      <c r="C134" s="1" t="s">
        <v>93</v>
      </c>
    </row>
    <row r="135" spans="1:3" x14ac:dyDescent="0.25">
      <c r="A135" s="1" t="s">
        <v>203</v>
      </c>
      <c r="B135" s="1" t="s">
        <v>204</v>
      </c>
      <c r="C135" s="1" t="s">
        <v>93</v>
      </c>
    </row>
    <row r="136" spans="1:3" x14ac:dyDescent="0.25">
      <c r="A136" s="1" t="s">
        <v>205</v>
      </c>
      <c r="B136" s="1" t="s">
        <v>6</v>
      </c>
      <c r="C136" s="1" t="s">
        <v>93</v>
      </c>
    </row>
    <row r="137" spans="1:3" x14ac:dyDescent="0.25">
      <c r="A137" s="1" t="s">
        <v>38</v>
      </c>
      <c r="B137" s="1" t="s">
        <v>83</v>
      </c>
      <c r="C137" s="1" t="s">
        <v>93</v>
      </c>
    </row>
    <row r="138" spans="1:3" x14ac:dyDescent="0.25">
      <c r="A138" s="1" t="s">
        <v>206</v>
      </c>
      <c r="B138" s="1" t="s">
        <v>207</v>
      </c>
      <c r="C138" s="1" t="s">
        <v>208</v>
      </c>
    </row>
    <row r="139" spans="1:3" x14ac:dyDescent="0.25">
      <c r="A139" s="1" t="s">
        <v>209</v>
      </c>
      <c r="B139" s="1" t="s">
        <v>210</v>
      </c>
      <c r="C139" s="1" t="s">
        <v>208</v>
      </c>
    </row>
    <row r="140" spans="1:3" x14ac:dyDescent="0.25">
      <c r="A140" s="1" t="s">
        <v>211</v>
      </c>
      <c r="B140" s="1" t="s">
        <v>212</v>
      </c>
      <c r="C140" s="1" t="s">
        <v>208</v>
      </c>
    </row>
    <row r="141" spans="1:3" x14ac:dyDescent="0.25">
      <c r="A141" s="1" t="s">
        <v>213</v>
      </c>
      <c r="B141" s="1" t="s">
        <v>214</v>
      </c>
      <c r="C141" s="1" t="s">
        <v>208</v>
      </c>
    </row>
    <row r="142" spans="1:3" x14ac:dyDescent="0.25">
      <c r="A142" s="1" t="s">
        <v>38</v>
      </c>
      <c r="B142" s="1" t="s">
        <v>215</v>
      </c>
      <c r="C142" s="1" t="s">
        <v>208</v>
      </c>
    </row>
    <row r="143" spans="1:3" x14ac:dyDescent="0.25">
      <c r="A143" s="1" t="s">
        <v>216</v>
      </c>
      <c r="B143" s="1" t="s">
        <v>217</v>
      </c>
      <c r="C143" s="1" t="s">
        <v>208</v>
      </c>
    </row>
    <row r="144" spans="1:3" x14ac:dyDescent="0.25">
      <c r="A144" s="1" t="s">
        <v>218</v>
      </c>
      <c r="B144" s="1" t="s">
        <v>219</v>
      </c>
      <c r="C144" s="1" t="s">
        <v>208</v>
      </c>
    </row>
    <row r="145" spans="1:3" x14ac:dyDescent="0.25">
      <c r="A145" s="1" t="s">
        <v>220</v>
      </c>
      <c r="B145" s="1" t="s">
        <v>221</v>
      </c>
      <c r="C145" s="1" t="s">
        <v>208</v>
      </c>
    </row>
    <row r="146" spans="1:3" x14ac:dyDescent="0.25">
      <c r="A146" s="1" t="s">
        <v>222</v>
      </c>
      <c r="B146" s="1" t="s">
        <v>223</v>
      </c>
      <c r="C146" s="1" t="s">
        <v>208</v>
      </c>
    </row>
    <row r="147" spans="1:3" x14ac:dyDescent="0.25">
      <c r="A147" s="1" t="s">
        <v>224</v>
      </c>
      <c r="B147" s="1" t="s">
        <v>225</v>
      </c>
      <c r="C147" s="1" t="s">
        <v>226</v>
      </c>
    </row>
    <row r="148" spans="1:3" x14ac:dyDescent="0.25">
      <c r="A148" s="1" t="s">
        <v>38</v>
      </c>
      <c r="B148" s="1" t="s">
        <v>227</v>
      </c>
      <c r="C148" s="1" t="s">
        <v>226</v>
      </c>
    </row>
    <row r="149" spans="1:3" x14ac:dyDescent="0.25">
      <c r="A149" s="1" t="s">
        <v>228</v>
      </c>
      <c r="B149" s="1" t="s">
        <v>229</v>
      </c>
      <c r="C149" s="1" t="s">
        <v>226</v>
      </c>
    </row>
    <row r="150" spans="1:3" x14ac:dyDescent="0.25">
      <c r="A150" s="1" t="s">
        <v>230</v>
      </c>
      <c r="B150" s="1" t="s">
        <v>231</v>
      </c>
      <c r="C150" s="1" t="s">
        <v>226</v>
      </c>
    </row>
    <row r="151" spans="1:3" x14ac:dyDescent="0.25">
      <c r="A151" s="1" t="s">
        <v>38</v>
      </c>
      <c r="B151" s="1" t="s">
        <v>232</v>
      </c>
      <c r="C151" s="1" t="s">
        <v>226</v>
      </c>
    </row>
    <row r="152" spans="1:3" x14ac:dyDescent="0.25">
      <c r="A152" s="1" t="s">
        <v>233</v>
      </c>
      <c r="B152" s="1" t="s">
        <v>234</v>
      </c>
      <c r="C152" s="1" t="s">
        <v>226</v>
      </c>
    </row>
    <row r="153" spans="1:3" x14ac:dyDescent="0.25">
      <c r="A153" s="1" t="s">
        <v>235</v>
      </c>
      <c r="B153" s="1" t="s">
        <v>236</v>
      </c>
      <c r="C153" s="1" t="s">
        <v>226</v>
      </c>
    </row>
    <row r="154" spans="1:3" x14ac:dyDescent="0.25">
      <c r="A154" s="1" t="s">
        <v>237</v>
      </c>
      <c r="B154" s="1" t="s">
        <v>238</v>
      </c>
      <c r="C154" s="1" t="s">
        <v>226</v>
      </c>
    </row>
    <row r="155" spans="1:3" x14ac:dyDescent="0.25">
      <c r="A155" s="1" t="s">
        <v>239</v>
      </c>
      <c r="B155" s="1" t="s">
        <v>240</v>
      </c>
      <c r="C155" s="1" t="s">
        <v>226</v>
      </c>
    </row>
    <row r="156" spans="1:3" x14ac:dyDescent="0.25">
      <c r="A156" s="1" t="s">
        <v>241</v>
      </c>
      <c r="B156" s="1" t="s">
        <v>34</v>
      </c>
      <c r="C156" s="1" t="s">
        <v>226</v>
      </c>
    </row>
    <row r="157" spans="1:3" x14ac:dyDescent="0.25">
      <c r="A157" s="1" t="s">
        <v>242</v>
      </c>
      <c r="B157" s="1" t="s">
        <v>34</v>
      </c>
      <c r="C157" s="1" t="s">
        <v>226</v>
      </c>
    </row>
    <row r="158" spans="1:3" x14ac:dyDescent="0.25">
      <c r="A158" s="1" t="s">
        <v>243</v>
      </c>
      <c r="B158" s="1" t="s">
        <v>244</v>
      </c>
      <c r="C158" s="1" t="s">
        <v>226</v>
      </c>
    </row>
    <row r="159" spans="1:3" x14ac:dyDescent="0.25">
      <c r="A159" s="1" t="s">
        <v>245</v>
      </c>
      <c r="B159" s="1" t="s">
        <v>246</v>
      </c>
      <c r="C159" s="1" t="s">
        <v>226</v>
      </c>
    </row>
    <row r="160" spans="1:3" x14ac:dyDescent="0.25">
      <c r="A160" s="1" t="s">
        <v>247</v>
      </c>
      <c r="B160" s="1" t="s">
        <v>248</v>
      </c>
      <c r="C160" s="1" t="s">
        <v>226</v>
      </c>
    </row>
    <row r="161" spans="1:3" x14ac:dyDescent="0.25">
      <c r="A161" s="1" t="s">
        <v>249</v>
      </c>
      <c r="B161" s="1" t="s">
        <v>250</v>
      </c>
      <c r="C161" s="1" t="s">
        <v>226</v>
      </c>
    </row>
    <row r="162" spans="1:3" x14ac:dyDescent="0.25">
      <c r="A162" s="1" t="s">
        <v>251</v>
      </c>
      <c r="B162" s="1" t="s">
        <v>252</v>
      </c>
      <c r="C162" s="1" t="s">
        <v>226</v>
      </c>
    </row>
    <row r="163" spans="1:3" x14ac:dyDescent="0.25">
      <c r="A163" s="1" t="s">
        <v>253</v>
      </c>
      <c r="B163" s="1" t="s">
        <v>254</v>
      </c>
      <c r="C163" s="1" t="s">
        <v>226</v>
      </c>
    </row>
    <row r="164" spans="1:3" x14ac:dyDescent="0.25">
      <c r="A164" s="1" t="s">
        <v>255</v>
      </c>
      <c r="B164" s="1" t="s">
        <v>256</v>
      </c>
      <c r="C164" s="1" t="s">
        <v>226</v>
      </c>
    </row>
    <row r="165" spans="1:3" x14ac:dyDescent="0.25">
      <c r="A165" s="1" t="s">
        <v>257</v>
      </c>
      <c r="B165" s="1" t="s">
        <v>258</v>
      </c>
      <c r="C165" s="1" t="s">
        <v>226</v>
      </c>
    </row>
    <row r="166" spans="1:3" x14ac:dyDescent="0.25">
      <c r="A166" s="1" t="s">
        <v>259</v>
      </c>
      <c r="B166" s="1" t="s">
        <v>260</v>
      </c>
      <c r="C166" s="1" t="s">
        <v>226</v>
      </c>
    </row>
    <row r="167" spans="1:3" x14ac:dyDescent="0.25">
      <c r="A167" s="1" t="s">
        <v>261</v>
      </c>
      <c r="B167" s="1" t="s">
        <v>6</v>
      </c>
      <c r="C167" s="1" t="s">
        <v>226</v>
      </c>
    </row>
    <row r="168" spans="1:3" x14ac:dyDescent="0.25">
      <c r="A168" s="1" t="s">
        <v>262</v>
      </c>
      <c r="B168" s="1" t="s">
        <v>263</v>
      </c>
      <c r="C168" s="1" t="s">
        <v>226</v>
      </c>
    </row>
    <row r="169" spans="1:3" x14ac:dyDescent="0.25">
      <c r="A169" s="1" t="s">
        <v>264</v>
      </c>
      <c r="B169" s="1" t="s">
        <v>6</v>
      </c>
      <c r="C169" s="1" t="s">
        <v>265</v>
      </c>
    </row>
    <row r="170" spans="1:3" x14ac:dyDescent="0.25">
      <c r="A170" s="1" t="s">
        <v>266</v>
      </c>
      <c r="B170" s="1" t="s">
        <v>267</v>
      </c>
      <c r="C170" s="1" t="s">
        <v>265</v>
      </c>
    </row>
    <row r="171" spans="1:3" x14ac:dyDescent="0.25">
      <c r="A171" s="1" t="s">
        <v>268</v>
      </c>
      <c r="B171" s="1" t="s">
        <v>269</v>
      </c>
      <c r="C171" s="1" t="s">
        <v>265</v>
      </c>
    </row>
    <row r="172" spans="1:3" x14ac:dyDescent="0.25">
      <c r="A172" s="1" t="s">
        <v>270</v>
      </c>
      <c r="B172" s="1" t="s">
        <v>271</v>
      </c>
      <c r="C172" s="1" t="s">
        <v>265</v>
      </c>
    </row>
    <row r="173" spans="1:3" x14ac:dyDescent="0.25">
      <c r="A173" s="1" t="s">
        <v>272</v>
      </c>
      <c r="B173" s="1" t="s">
        <v>273</v>
      </c>
      <c r="C173" s="1" t="s">
        <v>265</v>
      </c>
    </row>
    <row r="174" spans="1:3" x14ac:dyDescent="0.25">
      <c r="A174" s="1" t="s">
        <v>274</v>
      </c>
      <c r="B174" s="1" t="s">
        <v>275</v>
      </c>
      <c r="C174" s="1" t="s">
        <v>265</v>
      </c>
    </row>
    <row r="175" spans="1:3" x14ac:dyDescent="0.25">
      <c r="A175" s="1" t="s">
        <v>276</v>
      </c>
      <c r="B175" s="1" t="s">
        <v>277</v>
      </c>
      <c r="C175" s="1" t="s">
        <v>265</v>
      </c>
    </row>
    <row r="176" spans="1:3" x14ac:dyDescent="0.25">
      <c r="A176" s="1" t="s">
        <v>278</v>
      </c>
      <c r="B176" s="1" t="s">
        <v>279</v>
      </c>
      <c r="C176" s="1" t="s">
        <v>265</v>
      </c>
    </row>
    <row r="177" spans="1:3" x14ac:dyDescent="0.25">
      <c r="A177" s="1" t="s">
        <v>280</v>
      </c>
      <c r="B177" s="1" t="s">
        <v>281</v>
      </c>
      <c r="C177" s="1" t="s">
        <v>265</v>
      </c>
    </row>
    <row r="178" spans="1:3" x14ac:dyDescent="0.25">
      <c r="A178" s="1" t="s">
        <v>282</v>
      </c>
      <c r="B178" s="1" t="s">
        <v>283</v>
      </c>
      <c r="C178" s="1" t="s">
        <v>265</v>
      </c>
    </row>
    <row r="179" spans="1:3" x14ac:dyDescent="0.25">
      <c r="A179" s="1" t="s">
        <v>284</v>
      </c>
      <c r="B179" s="1" t="s">
        <v>285</v>
      </c>
      <c r="C179" s="1" t="s">
        <v>265</v>
      </c>
    </row>
    <row r="180" spans="1:3" x14ac:dyDescent="0.25">
      <c r="A180" s="1" t="s">
        <v>286</v>
      </c>
      <c r="B180" s="1" t="s">
        <v>287</v>
      </c>
      <c r="C180" s="1" t="s">
        <v>265</v>
      </c>
    </row>
    <row r="181" spans="1:3" x14ac:dyDescent="0.25">
      <c r="A181" s="1" t="s">
        <v>288</v>
      </c>
      <c r="B181" s="1" t="s">
        <v>289</v>
      </c>
      <c r="C181" s="1" t="s">
        <v>265</v>
      </c>
    </row>
    <row r="182" spans="1:3" x14ac:dyDescent="0.25">
      <c r="A182" s="1" t="s">
        <v>290</v>
      </c>
      <c r="B182" s="1" t="s">
        <v>291</v>
      </c>
      <c r="C182" s="1" t="s">
        <v>265</v>
      </c>
    </row>
    <row r="183" spans="1:3" x14ac:dyDescent="0.25">
      <c r="A183" s="1" t="s">
        <v>292</v>
      </c>
      <c r="B183" s="1" t="s">
        <v>293</v>
      </c>
      <c r="C183" s="1" t="s">
        <v>265</v>
      </c>
    </row>
    <row r="184" spans="1:3" x14ac:dyDescent="0.25">
      <c r="A184" s="1" t="s">
        <v>294</v>
      </c>
      <c r="B184" s="1" t="s">
        <v>295</v>
      </c>
      <c r="C184" s="1" t="s">
        <v>265</v>
      </c>
    </row>
    <row r="185" spans="1:3" x14ac:dyDescent="0.25">
      <c r="A185" s="1" t="s">
        <v>296</v>
      </c>
      <c r="B185" s="1" t="s">
        <v>297</v>
      </c>
      <c r="C185" s="1" t="s">
        <v>265</v>
      </c>
    </row>
    <row r="186" spans="1:3" x14ac:dyDescent="0.25">
      <c r="A186" s="1" t="s">
        <v>298</v>
      </c>
      <c r="B186" s="1" t="s">
        <v>299</v>
      </c>
      <c r="C186" s="1" t="s">
        <v>265</v>
      </c>
    </row>
    <row r="187" spans="1:3" x14ac:dyDescent="0.25">
      <c r="A187" s="1" t="s">
        <v>300</v>
      </c>
      <c r="B187" s="1" t="s">
        <v>301</v>
      </c>
      <c r="C187" s="1" t="s">
        <v>265</v>
      </c>
    </row>
    <row r="188" spans="1:3" x14ac:dyDescent="0.25">
      <c r="A188" s="1" t="s">
        <v>302</v>
      </c>
      <c r="B188" s="1" t="s">
        <v>6</v>
      </c>
      <c r="C188" s="1" t="s">
        <v>265</v>
      </c>
    </row>
    <row r="189" spans="1:3" x14ac:dyDescent="0.25">
      <c r="A189" s="1" t="s">
        <v>120</v>
      </c>
      <c r="B189" s="1" t="s">
        <v>303</v>
      </c>
      <c r="C189" s="1" t="s">
        <v>265</v>
      </c>
    </row>
    <row r="190" spans="1:3" x14ac:dyDescent="0.25">
      <c r="A190" s="1" t="s">
        <v>304</v>
      </c>
      <c r="B190" s="1" t="s">
        <v>305</v>
      </c>
      <c r="C190" s="1" t="s">
        <v>265</v>
      </c>
    </row>
    <row r="191" spans="1:3" x14ac:dyDescent="0.25">
      <c r="A191" s="1" t="s">
        <v>306</v>
      </c>
      <c r="B191" s="1" t="s">
        <v>307</v>
      </c>
      <c r="C191" s="1" t="s">
        <v>265</v>
      </c>
    </row>
    <row r="192" spans="1:3" x14ac:dyDescent="0.25">
      <c r="A192" s="1" t="s">
        <v>308</v>
      </c>
      <c r="B192" s="1" t="s">
        <v>309</v>
      </c>
      <c r="C192" s="1" t="s">
        <v>265</v>
      </c>
    </row>
    <row r="193" spans="1:3" x14ac:dyDescent="0.25">
      <c r="A193" s="1" t="s">
        <v>310</v>
      </c>
      <c r="B193" s="1" t="s">
        <v>311</v>
      </c>
      <c r="C193" s="1" t="s">
        <v>265</v>
      </c>
    </row>
    <row r="194" spans="1:3" x14ac:dyDescent="0.25">
      <c r="A194" s="1" t="s">
        <v>312</v>
      </c>
      <c r="B194" s="1" t="s">
        <v>313</v>
      </c>
      <c r="C194" s="1" t="s">
        <v>265</v>
      </c>
    </row>
    <row r="195" spans="1:3" x14ac:dyDescent="0.25">
      <c r="A195" s="1" t="s">
        <v>314</v>
      </c>
      <c r="B195" s="1" t="s">
        <v>315</v>
      </c>
      <c r="C195" s="1" t="s">
        <v>265</v>
      </c>
    </row>
    <row r="196" spans="1:3" x14ac:dyDescent="0.25">
      <c r="A196" s="1" t="s">
        <v>316</v>
      </c>
      <c r="B196" s="1" t="s">
        <v>317</v>
      </c>
      <c r="C196" s="1" t="s">
        <v>265</v>
      </c>
    </row>
    <row r="197" spans="1:3" x14ac:dyDescent="0.25">
      <c r="A197" s="1" t="s">
        <v>318</v>
      </c>
      <c r="B197" s="1" t="s">
        <v>319</v>
      </c>
      <c r="C197" s="1" t="s">
        <v>265</v>
      </c>
    </row>
    <row r="198" spans="1:3" x14ac:dyDescent="0.25">
      <c r="A198" s="1" t="s">
        <v>320</v>
      </c>
      <c r="B198" s="1" t="s">
        <v>321</v>
      </c>
      <c r="C198" s="1" t="s">
        <v>265</v>
      </c>
    </row>
    <row r="199" spans="1:3" x14ac:dyDescent="0.25">
      <c r="A199" s="1" t="s">
        <v>76</v>
      </c>
      <c r="B199" s="1" t="s">
        <v>322</v>
      </c>
      <c r="C199" s="1" t="s">
        <v>265</v>
      </c>
    </row>
    <row r="200" spans="1:3" x14ac:dyDescent="0.25">
      <c r="A200" s="1" t="s">
        <v>323</v>
      </c>
      <c r="B200" s="1" t="s">
        <v>324</v>
      </c>
      <c r="C200" s="1" t="s">
        <v>265</v>
      </c>
    </row>
    <row r="201" spans="1:3" x14ac:dyDescent="0.25">
      <c r="A201" s="1" t="s">
        <v>325</v>
      </c>
      <c r="B201" s="1" t="s">
        <v>326</v>
      </c>
      <c r="C201" s="1" t="s">
        <v>265</v>
      </c>
    </row>
    <row r="202" spans="1:3" x14ac:dyDescent="0.25">
      <c r="A202" s="1" t="s">
        <v>327</v>
      </c>
      <c r="B202" s="1" t="s">
        <v>328</v>
      </c>
      <c r="C202" s="1" t="s">
        <v>265</v>
      </c>
    </row>
    <row r="203" spans="1:3" x14ac:dyDescent="0.25">
      <c r="A203" s="1" t="s">
        <v>329</v>
      </c>
      <c r="B203" s="1" t="s">
        <v>330</v>
      </c>
      <c r="C203" s="1" t="s">
        <v>265</v>
      </c>
    </row>
    <row r="204" spans="1:3" x14ac:dyDescent="0.25">
      <c r="A204" s="1" t="s">
        <v>331</v>
      </c>
      <c r="B204" s="1" t="s">
        <v>332</v>
      </c>
      <c r="C204" s="1" t="s">
        <v>265</v>
      </c>
    </row>
    <row r="205" spans="1:3" x14ac:dyDescent="0.25">
      <c r="A205" s="1" t="s">
        <v>333</v>
      </c>
      <c r="B205" s="1" t="s">
        <v>334</v>
      </c>
      <c r="C205" s="1" t="s">
        <v>265</v>
      </c>
    </row>
    <row r="206" spans="1:3" x14ac:dyDescent="0.25">
      <c r="A206" s="1" t="s">
        <v>335</v>
      </c>
      <c r="B206" s="1" t="s">
        <v>336</v>
      </c>
      <c r="C206" s="1" t="s">
        <v>265</v>
      </c>
    </row>
    <row r="207" spans="1:3" x14ac:dyDescent="0.25">
      <c r="A207" s="1" t="s">
        <v>337</v>
      </c>
      <c r="B207" s="1" t="s">
        <v>6</v>
      </c>
      <c r="C207" s="1" t="s">
        <v>265</v>
      </c>
    </row>
    <row r="208" spans="1:3" x14ac:dyDescent="0.25">
      <c r="A208" s="1" t="s">
        <v>338</v>
      </c>
      <c r="B208" s="1" t="s">
        <v>339</v>
      </c>
      <c r="C208" s="1" t="s">
        <v>265</v>
      </c>
    </row>
    <row r="209" spans="1:3" x14ac:dyDescent="0.25">
      <c r="A209" s="1" t="s">
        <v>340</v>
      </c>
      <c r="B209" s="1" t="s">
        <v>341</v>
      </c>
      <c r="C209" s="1" t="s">
        <v>265</v>
      </c>
    </row>
    <row r="210" spans="1:3" x14ac:dyDescent="0.25">
      <c r="A210" s="1" t="s">
        <v>342</v>
      </c>
      <c r="B210" s="1" t="s">
        <v>317</v>
      </c>
      <c r="C210" s="1" t="s">
        <v>265</v>
      </c>
    </row>
    <row r="211" spans="1:3" x14ac:dyDescent="0.25">
      <c r="A211" s="1" t="s">
        <v>343</v>
      </c>
      <c r="B211" s="1" t="s">
        <v>344</v>
      </c>
      <c r="C211" s="1" t="s">
        <v>265</v>
      </c>
    </row>
    <row r="212" spans="1:3" x14ac:dyDescent="0.25">
      <c r="A212" s="1" t="s">
        <v>345</v>
      </c>
      <c r="B212" s="1" t="s">
        <v>6</v>
      </c>
      <c r="C212" s="1" t="s">
        <v>265</v>
      </c>
    </row>
    <row r="213" spans="1:3" x14ac:dyDescent="0.25">
      <c r="A213" s="1" t="s">
        <v>346</v>
      </c>
      <c r="B213" s="1" t="s">
        <v>347</v>
      </c>
      <c r="C213" s="1" t="s">
        <v>265</v>
      </c>
    </row>
    <row r="214" spans="1:3" x14ac:dyDescent="0.25">
      <c r="A214" s="1" t="s">
        <v>348</v>
      </c>
      <c r="B214" s="1" t="s">
        <v>349</v>
      </c>
      <c r="C214" s="1" t="s">
        <v>265</v>
      </c>
    </row>
    <row r="215" spans="1:3" x14ac:dyDescent="0.25">
      <c r="A215" s="1" t="s">
        <v>350</v>
      </c>
      <c r="B215" s="1" t="s">
        <v>317</v>
      </c>
      <c r="C215" s="1" t="s">
        <v>265</v>
      </c>
    </row>
    <row r="216" spans="1:3" x14ac:dyDescent="0.25">
      <c r="A216" s="1" t="s">
        <v>351</v>
      </c>
      <c r="B216" s="1" t="s">
        <v>352</v>
      </c>
      <c r="C216" s="1" t="s">
        <v>265</v>
      </c>
    </row>
    <row r="217" spans="1:3" x14ac:dyDescent="0.25">
      <c r="A217" s="1" t="s">
        <v>353</v>
      </c>
      <c r="B217" s="1" t="s">
        <v>354</v>
      </c>
      <c r="C217" s="1" t="s">
        <v>265</v>
      </c>
    </row>
    <row r="218" spans="1:3" x14ac:dyDescent="0.25">
      <c r="A218" s="1" t="s">
        <v>355</v>
      </c>
      <c r="B218" s="1" t="s">
        <v>356</v>
      </c>
      <c r="C218" s="1" t="s">
        <v>265</v>
      </c>
    </row>
    <row r="219" spans="1:3" x14ac:dyDescent="0.25">
      <c r="A219" s="1" t="s">
        <v>357</v>
      </c>
      <c r="B219" s="1" t="s">
        <v>358</v>
      </c>
      <c r="C219" s="1" t="s">
        <v>359</v>
      </c>
    </row>
    <row r="220" spans="1:3" x14ac:dyDescent="0.25">
      <c r="A220" s="1" t="s">
        <v>38</v>
      </c>
      <c r="B220" s="1" t="s">
        <v>360</v>
      </c>
      <c r="C220" s="1" t="s">
        <v>359</v>
      </c>
    </row>
    <row r="221" spans="1:3" x14ac:dyDescent="0.25">
      <c r="A221" s="1" t="s">
        <v>361</v>
      </c>
      <c r="B221" s="1" t="s">
        <v>362</v>
      </c>
      <c r="C221" s="1" t="s">
        <v>359</v>
      </c>
    </row>
    <row r="222" spans="1:3" x14ac:dyDescent="0.25">
      <c r="A222" s="1" t="s">
        <v>363</v>
      </c>
      <c r="B222" s="1" t="s">
        <v>364</v>
      </c>
      <c r="C222" s="1" t="s">
        <v>359</v>
      </c>
    </row>
    <row r="223" spans="1:3" x14ac:dyDescent="0.25">
      <c r="A223" s="1" t="s">
        <v>365</v>
      </c>
      <c r="B223" s="1" t="s">
        <v>366</v>
      </c>
      <c r="C223" s="1" t="s">
        <v>359</v>
      </c>
    </row>
    <row r="224" spans="1:3" x14ac:dyDescent="0.25">
      <c r="A224" s="1" t="s">
        <v>367</v>
      </c>
      <c r="B224" s="1" t="s">
        <v>368</v>
      </c>
      <c r="C224" s="1" t="s">
        <v>359</v>
      </c>
    </row>
    <row r="225" spans="1:3" x14ac:dyDescent="0.25">
      <c r="A225" s="1" t="s">
        <v>369</v>
      </c>
      <c r="B225" s="1" t="s">
        <v>370</v>
      </c>
      <c r="C225" s="1" t="s">
        <v>359</v>
      </c>
    </row>
    <row r="226" spans="1:3" x14ac:dyDescent="0.25">
      <c r="A226" s="1" t="s">
        <v>371</v>
      </c>
      <c r="B226" s="1" t="s">
        <v>372</v>
      </c>
      <c r="C226" s="1" t="s">
        <v>359</v>
      </c>
    </row>
    <row r="227" spans="1:3" x14ac:dyDescent="0.25">
      <c r="A227" s="1" t="s">
        <v>373</v>
      </c>
      <c r="B227" s="1" t="s">
        <v>374</v>
      </c>
      <c r="C227" s="1" t="s">
        <v>359</v>
      </c>
    </row>
    <row r="228" spans="1:3" x14ac:dyDescent="0.25">
      <c r="A228" s="1" t="s">
        <v>375</v>
      </c>
      <c r="B228" s="1" t="s">
        <v>376</v>
      </c>
      <c r="C228" s="1" t="s">
        <v>359</v>
      </c>
    </row>
    <row r="229" spans="1:3" x14ac:dyDescent="0.25">
      <c r="A229" s="1" t="s">
        <v>377</v>
      </c>
      <c r="B229" s="1" t="s">
        <v>378</v>
      </c>
      <c r="C229" s="1" t="s">
        <v>359</v>
      </c>
    </row>
    <row r="230" spans="1:3" x14ac:dyDescent="0.25">
      <c r="A230" s="1" t="s">
        <v>379</v>
      </c>
      <c r="B230" s="1" t="s">
        <v>380</v>
      </c>
      <c r="C230" s="1" t="s">
        <v>359</v>
      </c>
    </row>
    <row r="231" spans="1:3" x14ac:dyDescent="0.25">
      <c r="A231" s="1" t="s">
        <v>381</v>
      </c>
      <c r="B231" s="1" t="s">
        <v>382</v>
      </c>
      <c r="C231" s="1" t="s">
        <v>359</v>
      </c>
    </row>
    <row r="232" spans="1:3" x14ac:dyDescent="0.25">
      <c r="A232" s="1" t="s">
        <v>383</v>
      </c>
      <c r="B232" s="1" t="s">
        <v>384</v>
      </c>
      <c r="C232" s="1" t="s">
        <v>359</v>
      </c>
    </row>
    <row r="233" spans="1:3" x14ac:dyDescent="0.25">
      <c r="A233" s="1" t="s">
        <v>385</v>
      </c>
      <c r="B233" s="1" t="s">
        <v>6</v>
      </c>
      <c r="C233" s="1" t="s">
        <v>359</v>
      </c>
    </row>
    <row r="234" spans="1:3" x14ac:dyDescent="0.25">
      <c r="A234" s="1" t="s">
        <v>386</v>
      </c>
      <c r="B234" s="1" t="s">
        <v>387</v>
      </c>
      <c r="C234" s="1" t="s">
        <v>359</v>
      </c>
    </row>
    <row r="235" spans="1:3" x14ac:dyDescent="0.25">
      <c r="A235" s="1" t="s">
        <v>388</v>
      </c>
      <c r="B235" s="1" t="s">
        <v>389</v>
      </c>
      <c r="C235" s="1" t="s">
        <v>359</v>
      </c>
    </row>
    <row r="236" spans="1:3" x14ac:dyDescent="0.25">
      <c r="A236" s="1" t="s">
        <v>278</v>
      </c>
      <c r="B236" s="1" t="s">
        <v>390</v>
      </c>
      <c r="C236" s="1" t="s">
        <v>359</v>
      </c>
    </row>
    <row r="237" spans="1:3" x14ac:dyDescent="0.25">
      <c r="A237" s="1" t="s">
        <v>391</v>
      </c>
      <c r="B237" s="1" t="s">
        <v>392</v>
      </c>
      <c r="C237" s="1" t="s">
        <v>359</v>
      </c>
    </row>
    <row r="238" spans="1:3" x14ac:dyDescent="0.25">
      <c r="A238" s="1" t="s">
        <v>393</v>
      </c>
      <c r="B238" s="1" t="s">
        <v>394</v>
      </c>
      <c r="C238" s="1" t="s">
        <v>359</v>
      </c>
    </row>
    <row r="239" spans="1:3" x14ac:dyDescent="0.25">
      <c r="A239" s="1" t="s">
        <v>395</v>
      </c>
      <c r="B239" s="1" t="s">
        <v>396</v>
      </c>
      <c r="C239" s="1" t="s">
        <v>359</v>
      </c>
    </row>
    <row r="240" spans="1:3" x14ac:dyDescent="0.25">
      <c r="A240" s="1" t="s">
        <v>397</v>
      </c>
      <c r="B240" s="1" t="s">
        <v>398</v>
      </c>
      <c r="C240" s="1" t="s">
        <v>359</v>
      </c>
    </row>
    <row r="241" spans="1:3" x14ac:dyDescent="0.25">
      <c r="A241" s="1" t="s">
        <v>399</v>
      </c>
      <c r="B241" s="1" t="s">
        <v>265</v>
      </c>
      <c r="C241" s="1" t="s">
        <v>359</v>
      </c>
    </row>
    <row r="242" spans="1:3" x14ac:dyDescent="0.25">
      <c r="A242" s="1" t="s">
        <v>400</v>
      </c>
      <c r="B242" s="1" t="s">
        <v>401</v>
      </c>
      <c r="C242" s="1" t="s">
        <v>359</v>
      </c>
    </row>
    <row r="243" spans="1:3" x14ac:dyDescent="0.25">
      <c r="A243" s="1" t="s">
        <v>402</v>
      </c>
      <c r="B243" s="1" t="s">
        <v>403</v>
      </c>
      <c r="C243" s="1" t="s">
        <v>359</v>
      </c>
    </row>
    <row r="244" spans="1:3" x14ac:dyDescent="0.25">
      <c r="A244" s="1" t="s">
        <v>404</v>
      </c>
      <c r="B244" s="1" t="s">
        <v>405</v>
      </c>
      <c r="C244" s="1" t="s">
        <v>359</v>
      </c>
    </row>
    <row r="245" spans="1:3" x14ac:dyDescent="0.25">
      <c r="A245" s="1" t="s">
        <v>406</v>
      </c>
      <c r="B245" s="1" t="s">
        <v>6</v>
      </c>
      <c r="C245" s="1" t="s">
        <v>359</v>
      </c>
    </row>
    <row r="246" spans="1:3" x14ac:dyDescent="0.25">
      <c r="A246" s="1" t="s">
        <v>407</v>
      </c>
      <c r="B246" s="1" t="s">
        <v>408</v>
      </c>
      <c r="C246" s="1" t="s">
        <v>359</v>
      </c>
    </row>
    <row r="247" spans="1:3" x14ac:dyDescent="0.25">
      <c r="A247" s="1" t="s">
        <v>409</v>
      </c>
      <c r="B247" s="1" t="s">
        <v>410</v>
      </c>
      <c r="C247" s="1" t="s">
        <v>359</v>
      </c>
    </row>
    <row r="248" spans="1:3" x14ac:dyDescent="0.25">
      <c r="A248" s="1" t="s">
        <v>411</v>
      </c>
      <c r="B248" s="1" t="s">
        <v>412</v>
      </c>
      <c r="C248" s="1" t="s">
        <v>359</v>
      </c>
    </row>
    <row r="249" spans="1:3" x14ac:dyDescent="0.25">
      <c r="A249" s="1" t="s">
        <v>413</v>
      </c>
      <c r="B249" s="1" t="s">
        <v>414</v>
      </c>
      <c r="C249" s="1" t="s">
        <v>359</v>
      </c>
    </row>
    <row r="250" spans="1:3" x14ac:dyDescent="0.25">
      <c r="A250" s="1" t="s">
        <v>415</v>
      </c>
      <c r="B250" s="1" t="s">
        <v>416</v>
      </c>
      <c r="C250" s="1" t="s">
        <v>359</v>
      </c>
    </row>
    <row r="251" spans="1:3" x14ac:dyDescent="0.25">
      <c r="A251" s="1" t="s">
        <v>417</v>
      </c>
      <c r="B251" s="1" t="s">
        <v>418</v>
      </c>
      <c r="C251" s="1" t="s">
        <v>359</v>
      </c>
    </row>
    <row r="252" spans="1:3" x14ac:dyDescent="0.25">
      <c r="A252" s="1" t="s">
        <v>419</v>
      </c>
      <c r="B252" s="1" t="s">
        <v>420</v>
      </c>
      <c r="C252" s="1" t="s">
        <v>359</v>
      </c>
    </row>
    <row r="253" spans="1:3" x14ac:dyDescent="0.25">
      <c r="A253" s="1" t="s">
        <v>421</v>
      </c>
      <c r="B253" s="1" t="s">
        <v>422</v>
      </c>
      <c r="C253" s="1" t="s">
        <v>359</v>
      </c>
    </row>
    <row r="254" spans="1:3" x14ac:dyDescent="0.25">
      <c r="A254" s="1" t="s">
        <v>423</v>
      </c>
      <c r="B254" s="1" t="s">
        <v>424</v>
      </c>
      <c r="C254" s="1" t="s">
        <v>359</v>
      </c>
    </row>
    <row r="255" spans="1:3" x14ac:dyDescent="0.25">
      <c r="A255" s="1" t="s">
        <v>425</v>
      </c>
      <c r="B255" s="1" t="s">
        <v>426</v>
      </c>
      <c r="C255" s="1" t="s">
        <v>359</v>
      </c>
    </row>
    <row r="256" spans="1:3" x14ac:dyDescent="0.25">
      <c r="A256" s="1" t="s">
        <v>427</v>
      </c>
      <c r="B256" s="1" t="s">
        <v>6</v>
      </c>
      <c r="C256" s="1" t="s">
        <v>359</v>
      </c>
    </row>
    <row r="257" spans="1:3" x14ac:dyDescent="0.25">
      <c r="A257" s="1" t="s">
        <v>428</v>
      </c>
      <c r="B257" s="1" t="s">
        <v>34</v>
      </c>
      <c r="C257" s="1" t="s">
        <v>359</v>
      </c>
    </row>
    <row r="258" spans="1:3" x14ac:dyDescent="0.25">
      <c r="A258" s="1" t="s">
        <v>429</v>
      </c>
      <c r="B258" s="1" t="s">
        <v>430</v>
      </c>
      <c r="C258" s="1" t="s">
        <v>359</v>
      </c>
    </row>
    <row r="259" spans="1:3" x14ac:dyDescent="0.25">
      <c r="A259" s="1" t="s">
        <v>431</v>
      </c>
      <c r="B259" s="1" t="s">
        <v>432</v>
      </c>
      <c r="C259" s="1" t="s">
        <v>359</v>
      </c>
    </row>
    <row r="260" spans="1:3" x14ac:dyDescent="0.25">
      <c r="A260" s="1" t="s">
        <v>433</v>
      </c>
      <c r="B260" s="1" t="s">
        <v>434</v>
      </c>
      <c r="C260" s="1" t="s">
        <v>359</v>
      </c>
    </row>
    <row r="261" spans="1:3" x14ac:dyDescent="0.25">
      <c r="A261" s="1" t="s">
        <v>435</v>
      </c>
      <c r="B261" s="1" t="s">
        <v>436</v>
      </c>
      <c r="C261" s="1" t="s">
        <v>359</v>
      </c>
    </row>
    <row r="262" spans="1:3" x14ac:dyDescent="0.25">
      <c r="A262" s="1" t="s">
        <v>152</v>
      </c>
      <c r="B262" s="1" t="s">
        <v>437</v>
      </c>
      <c r="C262" s="1" t="s">
        <v>359</v>
      </c>
    </row>
    <row r="263" spans="1:3" x14ac:dyDescent="0.25">
      <c r="A263" s="1" t="s">
        <v>438</v>
      </c>
      <c r="B263" s="1" t="s">
        <v>439</v>
      </c>
      <c r="C263" s="1" t="s">
        <v>359</v>
      </c>
    </row>
    <row r="264" spans="1:3" x14ac:dyDescent="0.25">
      <c r="A264" s="1" t="s">
        <v>440</v>
      </c>
      <c r="B264" s="1" t="s">
        <v>34</v>
      </c>
      <c r="C264" s="1" t="s">
        <v>359</v>
      </c>
    </row>
    <row r="265" spans="1:3" x14ac:dyDescent="0.25">
      <c r="A265" s="1" t="s">
        <v>441</v>
      </c>
      <c r="B265" s="1" t="s">
        <v>442</v>
      </c>
      <c r="C265" s="1" t="s">
        <v>359</v>
      </c>
    </row>
    <row r="266" spans="1:3" x14ac:dyDescent="0.25">
      <c r="A266" s="1" t="s">
        <v>443</v>
      </c>
      <c r="B266" s="1" t="s">
        <v>444</v>
      </c>
      <c r="C266" s="1" t="s">
        <v>359</v>
      </c>
    </row>
    <row r="267" spans="1:3" x14ac:dyDescent="0.25">
      <c r="A267" s="1" t="s">
        <v>445</v>
      </c>
      <c r="B267" s="1" t="s">
        <v>446</v>
      </c>
      <c r="C267" s="1" t="s">
        <v>359</v>
      </c>
    </row>
    <row r="268" spans="1:3" x14ac:dyDescent="0.25">
      <c r="A268" s="1" t="s">
        <v>447</v>
      </c>
      <c r="B268" s="1" t="s">
        <v>448</v>
      </c>
      <c r="C268" s="1" t="s">
        <v>359</v>
      </c>
    </row>
    <row r="269" spans="1:3" x14ac:dyDescent="0.25">
      <c r="A269" s="1" t="s">
        <v>449</v>
      </c>
      <c r="B269" s="1" t="s">
        <v>450</v>
      </c>
      <c r="C269" s="1" t="s">
        <v>451</v>
      </c>
    </row>
    <row r="270" spans="1:3" x14ac:dyDescent="0.25">
      <c r="A270" s="1" t="s">
        <v>452</v>
      </c>
      <c r="B270" s="1" t="s">
        <v>453</v>
      </c>
      <c r="C270" s="1" t="s">
        <v>451</v>
      </c>
    </row>
    <row r="271" spans="1:3" x14ac:dyDescent="0.25">
      <c r="A271" s="1" t="s">
        <v>454</v>
      </c>
      <c r="B271" s="1" t="s">
        <v>455</v>
      </c>
      <c r="C271" s="1" t="s">
        <v>451</v>
      </c>
    </row>
    <row r="272" spans="1:3" x14ac:dyDescent="0.25">
      <c r="A272" s="1" t="s">
        <v>456</v>
      </c>
      <c r="B272" s="1" t="s">
        <v>457</v>
      </c>
      <c r="C272" s="1" t="s">
        <v>451</v>
      </c>
    </row>
    <row r="273" spans="1:3" x14ac:dyDescent="0.25">
      <c r="A273" s="1" t="s">
        <v>458</v>
      </c>
      <c r="B273" s="1" t="s">
        <v>459</v>
      </c>
      <c r="C273" s="1" t="s">
        <v>451</v>
      </c>
    </row>
    <row r="274" spans="1:3" x14ac:dyDescent="0.25">
      <c r="A274" s="1" t="s">
        <v>460</v>
      </c>
      <c r="B274" s="1" t="s">
        <v>461</v>
      </c>
      <c r="C274" s="1" t="s">
        <v>451</v>
      </c>
    </row>
    <row r="275" spans="1:3" x14ac:dyDescent="0.25">
      <c r="A275" s="1" t="s">
        <v>38</v>
      </c>
      <c r="B275" s="1" t="s">
        <v>462</v>
      </c>
      <c r="C275" s="1" t="s">
        <v>451</v>
      </c>
    </row>
    <row r="276" spans="1:3" x14ac:dyDescent="0.25">
      <c r="A276" s="1" t="s">
        <v>463</v>
      </c>
      <c r="B276" s="1" t="s">
        <v>6</v>
      </c>
      <c r="C276" s="1" t="s">
        <v>451</v>
      </c>
    </row>
    <row r="277" spans="1:3" x14ac:dyDescent="0.25">
      <c r="A277" s="1" t="s">
        <v>464</v>
      </c>
      <c r="B277" s="1" t="s">
        <v>457</v>
      </c>
      <c r="C277" s="1" t="s">
        <v>451</v>
      </c>
    </row>
    <row r="278" spans="1:3" x14ac:dyDescent="0.25">
      <c r="A278" s="1" t="s">
        <v>465</v>
      </c>
      <c r="B278" s="1" t="s">
        <v>457</v>
      </c>
      <c r="C278" s="1" t="s">
        <v>451</v>
      </c>
    </row>
    <row r="279" spans="1:3" x14ac:dyDescent="0.25">
      <c r="A279" s="1" t="s">
        <v>466</v>
      </c>
      <c r="B279" s="1" t="s">
        <v>467</v>
      </c>
      <c r="C279" s="1" t="s">
        <v>451</v>
      </c>
    </row>
    <row r="280" spans="1:3" x14ac:dyDescent="0.25">
      <c r="A280" s="1" t="s">
        <v>468</v>
      </c>
      <c r="B280" s="1" t="s">
        <v>469</v>
      </c>
      <c r="C280" s="1" t="s">
        <v>451</v>
      </c>
    </row>
    <row r="281" spans="1:3" x14ac:dyDescent="0.25">
      <c r="A281" s="1" t="s">
        <v>470</v>
      </c>
      <c r="B281" s="1" t="s">
        <v>471</v>
      </c>
      <c r="C281" s="1" t="s">
        <v>451</v>
      </c>
    </row>
    <row r="282" spans="1:3" x14ac:dyDescent="0.25">
      <c r="A282" s="1" t="s">
        <v>472</v>
      </c>
      <c r="B282" s="1" t="s">
        <v>473</v>
      </c>
      <c r="C282" s="1" t="s">
        <v>451</v>
      </c>
    </row>
    <row r="283" spans="1:3" x14ac:dyDescent="0.25">
      <c r="A283" s="1" t="s">
        <v>474</v>
      </c>
      <c r="B283" s="1" t="s">
        <v>475</v>
      </c>
      <c r="C283" s="1" t="s">
        <v>451</v>
      </c>
    </row>
    <row r="284" spans="1:3" x14ac:dyDescent="0.25">
      <c r="A284" s="1" t="s">
        <v>476</v>
      </c>
      <c r="B284" s="1" t="s">
        <v>477</v>
      </c>
      <c r="C284" s="1" t="s">
        <v>451</v>
      </c>
    </row>
    <row r="285" spans="1:3" x14ac:dyDescent="0.25">
      <c r="A285" s="1" t="s">
        <v>478</v>
      </c>
      <c r="B285" s="1" t="s">
        <v>479</v>
      </c>
      <c r="C285" s="1" t="s">
        <v>451</v>
      </c>
    </row>
    <row r="286" spans="1:3" x14ac:dyDescent="0.25">
      <c r="A286" s="1" t="s">
        <v>480</v>
      </c>
      <c r="B286" s="1" t="s">
        <v>481</v>
      </c>
      <c r="C286" s="1" t="s">
        <v>451</v>
      </c>
    </row>
    <row r="287" spans="1:3" x14ac:dyDescent="0.25">
      <c r="A287" s="1" t="s">
        <v>482</v>
      </c>
      <c r="B287" s="1" t="s">
        <v>483</v>
      </c>
      <c r="C287" s="1" t="s">
        <v>451</v>
      </c>
    </row>
    <row r="288" spans="1:3" x14ac:dyDescent="0.25">
      <c r="A288" s="1" t="s">
        <v>484</v>
      </c>
      <c r="B288" s="1" t="s">
        <v>6</v>
      </c>
      <c r="C288" s="1" t="s">
        <v>451</v>
      </c>
    </row>
    <row r="289" spans="1:3" x14ac:dyDescent="0.25">
      <c r="A289" s="1" t="s">
        <v>485</v>
      </c>
      <c r="B289" s="1" t="s">
        <v>486</v>
      </c>
      <c r="C289" s="1" t="s">
        <v>451</v>
      </c>
    </row>
    <row r="290" spans="1:3" x14ac:dyDescent="0.25">
      <c r="A290" s="1" t="s">
        <v>487</v>
      </c>
      <c r="B290" s="1" t="s">
        <v>488</v>
      </c>
      <c r="C290" s="1" t="s">
        <v>451</v>
      </c>
    </row>
    <row r="291" spans="1:3" x14ac:dyDescent="0.25">
      <c r="A291" s="1" t="s">
        <v>489</v>
      </c>
      <c r="B291" s="1" t="s">
        <v>490</v>
      </c>
      <c r="C291" s="1" t="s">
        <v>451</v>
      </c>
    </row>
    <row r="292" spans="1:3" x14ac:dyDescent="0.25">
      <c r="A292" s="1" t="s">
        <v>491</v>
      </c>
      <c r="B292" s="1" t="s">
        <v>6</v>
      </c>
      <c r="C292" s="1" t="s">
        <v>451</v>
      </c>
    </row>
    <row r="293" spans="1:3" x14ac:dyDescent="0.25">
      <c r="A293" s="1" t="s">
        <v>492</v>
      </c>
      <c r="B293" s="1" t="s">
        <v>493</v>
      </c>
      <c r="C293" s="1" t="s">
        <v>451</v>
      </c>
    </row>
    <row r="294" spans="1:3" x14ac:dyDescent="0.25">
      <c r="A294" s="1" t="s">
        <v>494</v>
      </c>
      <c r="B294" s="1" t="s">
        <v>457</v>
      </c>
      <c r="C294" s="1" t="s">
        <v>451</v>
      </c>
    </row>
    <row r="295" spans="1:3" x14ac:dyDescent="0.25">
      <c r="A295" s="1" t="s">
        <v>495</v>
      </c>
      <c r="B295" s="1" t="s">
        <v>496</v>
      </c>
      <c r="C295" s="1" t="s">
        <v>451</v>
      </c>
    </row>
    <row r="296" spans="1:3" x14ac:dyDescent="0.25">
      <c r="A296" s="1" t="s">
        <v>497</v>
      </c>
      <c r="B296" s="1" t="s">
        <v>498</v>
      </c>
      <c r="C296" s="1" t="s">
        <v>451</v>
      </c>
    </row>
    <row r="297" spans="1:3" x14ac:dyDescent="0.25">
      <c r="A297" s="1" t="s">
        <v>499</v>
      </c>
      <c r="B297" s="1" t="s">
        <v>6</v>
      </c>
      <c r="C297" s="1" t="s">
        <v>451</v>
      </c>
    </row>
    <row r="298" spans="1:3" x14ac:dyDescent="0.25">
      <c r="A298" s="1" t="s">
        <v>500</v>
      </c>
      <c r="B298" s="1" t="s">
        <v>34</v>
      </c>
      <c r="C298" s="1" t="s">
        <v>501</v>
      </c>
    </row>
    <row r="299" spans="1:3" x14ac:dyDescent="0.25">
      <c r="A299" s="1" t="s">
        <v>502</v>
      </c>
      <c r="B299" s="1" t="s">
        <v>6</v>
      </c>
      <c r="C299" s="1" t="s">
        <v>501</v>
      </c>
    </row>
    <row r="300" spans="1:3" x14ac:dyDescent="0.25">
      <c r="A300" s="1" t="s">
        <v>503</v>
      </c>
      <c r="B300" s="1" t="s">
        <v>6</v>
      </c>
      <c r="C300" s="1" t="s">
        <v>501</v>
      </c>
    </row>
    <row r="301" spans="1:3" x14ac:dyDescent="0.25">
      <c r="A301" s="1" t="s">
        <v>504</v>
      </c>
      <c r="B301" s="1" t="s">
        <v>505</v>
      </c>
      <c r="C301" s="1" t="s">
        <v>501</v>
      </c>
    </row>
    <row r="302" spans="1:3" x14ac:dyDescent="0.25">
      <c r="A302" s="1" t="s">
        <v>506</v>
      </c>
      <c r="B302" s="1" t="s">
        <v>507</v>
      </c>
      <c r="C302" s="1" t="s">
        <v>501</v>
      </c>
    </row>
    <row r="303" spans="1:3" x14ac:dyDescent="0.25">
      <c r="A303" s="1" t="s">
        <v>508</v>
      </c>
      <c r="B303" s="1" t="s">
        <v>509</v>
      </c>
      <c r="C303" s="1" t="s">
        <v>501</v>
      </c>
    </row>
    <row r="304" spans="1:3" x14ac:dyDescent="0.25">
      <c r="A304" s="1" t="s">
        <v>510</v>
      </c>
      <c r="B304" s="1" t="s">
        <v>6</v>
      </c>
      <c r="C304" s="1" t="s">
        <v>501</v>
      </c>
    </row>
    <row r="305" spans="1:3" x14ac:dyDescent="0.25">
      <c r="A305" s="1" t="s">
        <v>511</v>
      </c>
      <c r="B305" s="1" t="s">
        <v>512</v>
      </c>
      <c r="C305" s="1" t="s">
        <v>501</v>
      </c>
    </row>
    <row r="306" spans="1:3" x14ac:dyDescent="0.25">
      <c r="A306" s="1" t="s">
        <v>513</v>
      </c>
      <c r="B306" s="1" t="s">
        <v>514</v>
      </c>
      <c r="C306" s="1" t="s">
        <v>501</v>
      </c>
    </row>
    <row r="307" spans="1:3" x14ac:dyDescent="0.25">
      <c r="A307" s="1" t="s">
        <v>515</v>
      </c>
      <c r="B307" s="1" t="s">
        <v>516</v>
      </c>
      <c r="C307" s="1" t="s">
        <v>501</v>
      </c>
    </row>
    <row r="308" spans="1:3" x14ac:dyDescent="0.25">
      <c r="A308" s="1" t="s">
        <v>517</v>
      </c>
      <c r="B308" s="1" t="s">
        <v>518</v>
      </c>
      <c r="C308" s="1" t="s">
        <v>501</v>
      </c>
    </row>
    <row r="309" spans="1:3" x14ac:dyDescent="0.25">
      <c r="A309" s="1" t="s">
        <v>519</v>
      </c>
      <c r="B309" s="1" t="s">
        <v>6</v>
      </c>
      <c r="C309" s="1" t="s">
        <v>501</v>
      </c>
    </row>
    <row r="310" spans="1:3" x14ac:dyDescent="0.25">
      <c r="A310" s="1" t="s">
        <v>520</v>
      </c>
      <c r="B310" s="1" t="s">
        <v>6</v>
      </c>
      <c r="C310" s="1" t="s">
        <v>501</v>
      </c>
    </row>
    <row r="311" spans="1:3" x14ac:dyDescent="0.25">
      <c r="A311" s="1" t="s">
        <v>521</v>
      </c>
      <c r="B311" s="1" t="s">
        <v>522</v>
      </c>
      <c r="C311" s="1" t="s">
        <v>501</v>
      </c>
    </row>
    <row r="312" spans="1:3" x14ac:dyDescent="0.25">
      <c r="A312" s="1" t="s">
        <v>523</v>
      </c>
      <c r="B312" s="1" t="s">
        <v>524</v>
      </c>
      <c r="C312" s="1" t="s">
        <v>501</v>
      </c>
    </row>
    <row r="313" spans="1:3" x14ac:dyDescent="0.25">
      <c r="A313" s="1" t="s">
        <v>38</v>
      </c>
      <c r="B313" s="1" t="s">
        <v>6</v>
      </c>
      <c r="C313" s="1" t="s">
        <v>501</v>
      </c>
    </row>
    <row r="314" spans="1:3" x14ac:dyDescent="0.25">
      <c r="A314" s="1" t="s">
        <v>525</v>
      </c>
      <c r="B314" s="1" t="s">
        <v>526</v>
      </c>
      <c r="C314" s="1" t="s">
        <v>501</v>
      </c>
    </row>
    <row r="315" spans="1:3" x14ac:dyDescent="0.25">
      <c r="A315" s="1" t="s">
        <v>527</v>
      </c>
      <c r="B315" s="1" t="s">
        <v>528</v>
      </c>
      <c r="C315" s="1" t="s">
        <v>501</v>
      </c>
    </row>
    <row r="316" spans="1:3" x14ac:dyDescent="0.25">
      <c r="A316" s="1" t="s">
        <v>519</v>
      </c>
      <c r="B316" s="1" t="s">
        <v>529</v>
      </c>
      <c r="C316" s="1" t="s">
        <v>501</v>
      </c>
    </row>
    <row r="317" spans="1:3" x14ac:dyDescent="0.25">
      <c r="A317" s="1" t="s">
        <v>530</v>
      </c>
      <c r="B317" s="1" t="s">
        <v>531</v>
      </c>
      <c r="C317" s="1" t="s">
        <v>501</v>
      </c>
    </row>
    <row r="318" spans="1:3" x14ac:dyDescent="0.25">
      <c r="A318" s="1" t="s">
        <v>532</v>
      </c>
      <c r="B318" s="1" t="s">
        <v>533</v>
      </c>
      <c r="C318" s="1" t="s">
        <v>501</v>
      </c>
    </row>
    <row r="319" spans="1:3" x14ac:dyDescent="0.25">
      <c r="A319" s="1" t="s">
        <v>534</v>
      </c>
      <c r="B319" s="1" t="s">
        <v>34</v>
      </c>
      <c r="C319" s="1" t="s">
        <v>501</v>
      </c>
    </row>
    <row r="320" spans="1:3" x14ac:dyDescent="0.25">
      <c r="A320" s="1" t="s">
        <v>535</v>
      </c>
      <c r="B320" s="1" t="s">
        <v>6</v>
      </c>
      <c r="C320" s="1" t="s">
        <v>501</v>
      </c>
    </row>
    <row r="321" spans="1:3" x14ac:dyDescent="0.25">
      <c r="A321" s="1" t="s">
        <v>536</v>
      </c>
      <c r="B321" s="1" t="s">
        <v>6</v>
      </c>
      <c r="C321" s="1" t="s">
        <v>501</v>
      </c>
    </row>
    <row r="322" spans="1:3" x14ac:dyDescent="0.25">
      <c r="A322" s="1" t="s">
        <v>537</v>
      </c>
      <c r="B322" s="1" t="s">
        <v>538</v>
      </c>
      <c r="C322" s="1" t="s">
        <v>501</v>
      </c>
    </row>
    <row r="323" spans="1:3" x14ac:dyDescent="0.25">
      <c r="A323" s="1" t="s">
        <v>539</v>
      </c>
      <c r="B323" s="1" t="s">
        <v>540</v>
      </c>
      <c r="C323" s="1" t="s">
        <v>501</v>
      </c>
    </row>
    <row r="324" spans="1:3" x14ac:dyDescent="0.25">
      <c r="A324" s="1" t="s">
        <v>541</v>
      </c>
      <c r="B324" s="1" t="s">
        <v>542</v>
      </c>
      <c r="C324" s="1" t="s">
        <v>501</v>
      </c>
    </row>
    <row r="325" spans="1:3" x14ac:dyDescent="0.25">
      <c r="A325" s="1" t="s">
        <v>543</v>
      </c>
      <c r="B325" s="1" t="s">
        <v>6</v>
      </c>
      <c r="C325" s="1" t="s">
        <v>501</v>
      </c>
    </row>
    <row r="326" spans="1:3" x14ac:dyDescent="0.25">
      <c r="A326" s="1" t="s">
        <v>544</v>
      </c>
      <c r="B326" s="1" t="s">
        <v>545</v>
      </c>
      <c r="C326" s="1" t="s">
        <v>501</v>
      </c>
    </row>
    <row r="327" spans="1:3" x14ac:dyDescent="0.25">
      <c r="A327" s="1" t="s">
        <v>546</v>
      </c>
      <c r="B327" s="1" t="s">
        <v>547</v>
      </c>
      <c r="C327" s="1" t="s">
        <v>501</v>
      </c>
    </row>
    <row r="328" spans="1:3" x14ac:dyDescent="0.25">
      <c r="A328" s="1" t="s">
        <v>548</v>
      </c>
      <c r="B328" s="1" t="s">
        <v>6</v>
      </c>
      <c r="C328" s="1" t="s">
        <v>501</v>
      </c>
    </row>
    <row r="329" spans="1:3" x14ac:dyDescent="0.25">
      <c r="A329" s="1" t="s">
        <v>549</v>
      </c>
      <c r="B329" s="1" t="s">
        <v>550</v>
      </c>
      <c r="C329" s="1" t="s">
        <v>501</v>
      </c>
    </row>
    <row r="330" spans="1:3" x14ac:dyDescent="0.25">
      <c r="A330" s="1" t="s">
        <v>551</v>
      </c>
      <c r="B330" s="1" t="s">
        <v>6</v>
      </c>
      <c r="C330" s="1" t="s">
        <v>501</v>
      </c>
    </row>
    <row r="331" spans="1:3" x14ac:dyDescent="0.25">
      <c r="A331" s="1" t="s">
        <v>552</v>
      </c>
      <c r="B331" s="1" t="s">
        <v>553</v>
      </c>
      <c r="C331" s="1" t="s">
        <v>501</v>
      </c>
    </row>
    <row r="332" spans="1:3" x14ac:dyDescent="0.25">
      <c r="A332" s="1" t="s">
        <v>554</v>
      </c>
      <c r="B332" s="1" t="s">
        <v>555</v>
      </c>
      <c r="C332" s="1" t="s">
        <v>501</v>
      </c>
    </row>
    <row r="333" spans="1:3" x14ac:dyDescent="0.25">
      <c r="A333" s="1" t="s">
        <v>556</v>
      </c>
      <c r="B333" s="1" t="s">
        <v>557</v>
      </c>
      <c r="C333" s="1" t="s">
        <v>501</v>
      </c>
    </row>
    <row r="334" spans="1:3" x14ac:dyDescent="0.25">
      <c r="A334" s="1" t="s">
        <v>558</v>
      </c>
      <c r="B334" s="1" t="s">
        <v>559</v>
      </c>
      <c r="C334" s="1" t="s">
        <v>501</v>
      </c>
    </row>
    <row r="335" spans="1:3" x14ac:dyDescent="0.25">
      <c r="A335" s="1" t="s">
        <v>560</v>
      </c>
      <c r="B335" s="1" t="s">
        <v>6</v>
      </c>
      <c r="C335" s="1" t="s">
        <v>501</v>
      </c>
    </row>
    <row r="336" spans="1:3" x14ac:dyDescent="0.25">
      <c r="A336" s="1" t="s">
        <v>561</v>
      </c>
      <c r="B336" s="1" t="s">
        <v>562</v>
      </c>
      <c r="C336" s="1" t="s">
        <v>501</v>
      </c>
    </row>
    <row r="337" spans="1:3" x14ac:dyDescent="0.25">
      <c r="A337" s="1" t="s">
        <v>519</v>
      </c>
      <c r="B337" s="1" t="s">
        <v>6</v>
      </c>
      <c r="C337" s="1" t="s">
        <v>501</v>
      </c>
    </row>
    <row r="338" spans="1:3" x14ac:dyDescent="0.25">
      <c r="A338" s="1" t="s">
        <v>563</v>
      </c>
      <c r="B338" s="1" t="s">
        <v>564</v>
      </c>
      <c r="C338" s="1" t="s">
        <v>565</v>
      </c>
    </row>
    <row r="339" spans="1:3" x14ac:dyDescent="0.25">
      <c r="A339" s="1" t="s">
        <v>566</v>
      </c>
      <c r="B339" s="1" t="s">
        <v>567</v>
      </c>
      <c r="C339" s="1" t="s">
        <v>565</v>
      </c>
    </row>
    <row r="340" spans="1:3" x14ac:dyDescent="0.25">
      <c r="A340" s="1" t="s">
        <v>568</v>
      </c>
      <c r="B340" s="1" t="s">
        <v>569</v>
      </c>
      <c r="C340" s="1" t="s">
        <v>565</v>
      </c>
    </row>
    <row r="341" spans="1:3" x14ac:dyDescent="0.25">
      <c r="A341" s="1" t="s">
        <v>570</v>
      </c>
      <c r="B341" s="1" t="s">
        <v>571</v>
      </c>
      <c r="C341" s="1" t="s">
        <v>565</v>
      </c>
    </row>
    <row r="342" spans="1:3" x14ac:dyDescent="0.25">
      <c r="A342" s="1" t="s">
        <v>572</v>
      </c>
      <c r="B342" s="1" t="s">
        <v>573</v>
      </c>
      <c r="C342" s="1" t="s">
        <v>565</v>
      </c>
    </row>
    <row r="343" spans="1:3" x14ac:dyDescent="0.25">
      <c r="A343" s="1" t="s">
        <v>574</v>
      </c>
      <c r="B343" s="1" t="s">
        <v>575</v>
      </c>
      <c r="C343" s="1" t="s">
        <v>565</v>
      </c>
    </row>
    <row r="344" spans="1:3" x14ac:dyDescent="0.25">
      <c r="A344" s="1" t="s">
        <v>576</v>
      </c>
      <c r="B344" s="1" t="s">
        <v>6</v>
      </c>
      <c r="C344" s="1" t="s">
        <v>565</v>
      </c>
    </row>
    <row r="345" spans="1:3" x14ac:dyDescent="0.25">
      <c r="A345" s="1" t="s">
        <v>577</v>
      </c>
      <c r="B345" s="1" t="s">
        <v>6</v>
      </c>
      <c r="C345" s="1" t="s">
        <v>565</v>
      </c>
    </row>
    <row r="346" spans="1:3" x14ac:dyDescent="0.25">
      <c r="A346" s="1" t="s">
        <v>578</v>
      </c>
      <c r="B346" s="1" t="s">
        <v>6</v>
      </c>
      <c r="C346" s="1" t="s">
        <v>565</v>
      </c>
    </row>
    <row r="347" spans="1:3" x14ac:dyDescent="0.25">
      <c r="A347" s="1" t="s">
        <v>579</v>
      </c>
      <c r="B347" s="1" t="s">
        <v>580</v>
      </c>
      <c r="C347" s="1" t="s">
        <v>565</v>
      </c>
    </row>
    <row r="348" spans="1:3" x14ac:dyDescent="0.25">
      <c r="A348" s="1" t="s">
        <v>270</v>
      </c>
      <c r="B348" s="1" t="s">
        <v>581</v>
      </c>
      <c r="C348" s="1" t="s">
        <v>565</v>
      </c>
    </row>
    <row r="349" spans="1:3" x14ac:dyDescent="0.25">
      <c r="A349" s="1" t="s">
        <v>582</v>
      </c>
      <c r="B349" s="1" t="s">
        <v>583</v>
      </c>
      <c r="C349" s="1" t="s">
        <v>565</v>
      </c>
    </row>
    <row r="350" spans="1:3" x14ac:dyDescent="0.25">
      <c r="A350" s="1" t="s">
        <v>11</v>
      </c>
      <c r="B350" s="1" t="s">
        <v>584</v>
      </c>
      <c r="C350" s="1" t="s">
        <v>565</v>
      </c>
    </row>
    <row r="351" spans="1:3" x14ac:dyDescent="0.25">
      <c r="A351" s="1" t="s">
        <v>585</v>
      </c>
      <c r="B351" s="1" t="s">
        <v>34</v>
      </c>
      <c r="C351" s="1" t="s">
        <v>586</v>
      </c>
    </row>
    <row r="352" spans="1:3" x14ac:dyDescent="0.25">
      <c r="A352" s="1" t="s">
        <v>587</v>
      </c>
      <c r="B352" s="1" t="s">
        <v>6</v>
      </c>
      <c r="C352" s="1" t="s">
        <v>586</v>
      </c>
    </row>
    <row r="353" spans="1:3" x14ac:dyDescent="0.25">
      <c r="A353" s="1" t="s">
        <v>588</v>
      </c>
      <c r="B353" s="1" t="s">
        <v>589</v>
      </c>
      <c r="C353" s="1" t="s">
        <v>586</v>
      </c>
    </row>
    <row r="354" spans="1:3" x14ac:dyDescent="0.25">
      <c r="A354" s="1" t="s">
        <v>590</v>
      </c>
      <c r="B354" s="1" t="s">
        <v>244</v>
      </c>
      <c r="C354" s="1" t="s">
        <v>586</v>
      </c>
    </row>
    <row r="355" spans="1:3" x14ac:dyDescent="0.25">
      <c r="A355" s="1" t="s">
        <v>591</v>
      </c>
      <c r="B355" s="1" t="s">
        <v>592</v>
      </c>
      <c r="C355" s="1" t="s">
        <v>586</v>
      </c>
    </row>
    <row r="356" spans="1:3" x14ac:dyDescent="0.25">
      <c r="A356" s="1" t="s">
        <v>593</v>
      </c>
      <c r="B356" s="1" t="s">
        <v>594</v>
      </c>
      <c r="C356" s="1" t="s">
        <v>586</v>
      </c>
    </row>
    <row r="357" spans="1:3" x14ac:dyDescent="0.25">
      <c r="A357" s="1" t="s">
        <v>595</v>
      </c>
      <c r="B357" s="1" t="s">
        <v>596</v>
      </c>
      <c r="C357" s="1" t="s">
        <v>586</v>
      </c>
    </row>
    <row r="358" spans="1:3" x14ac:dyDescent="0.25">
      <c r="A358" s="1" t="s">
        <v>597</v>
      </c>
      <c r="B358" s="1" t="s">
        <v>598</v>
      </c>
      <c r="C358" s="1" t="s">
        <v>586</v>
      </c>
    </row>
    <row r="359" spans="1:3" x14ac:dyDescent="0.25">
      <c r="A359" s="1" t="s">
        <v>599</v>
      </c>
      <c r="B359" s="1" t="s">
        <v>600</v>
      </c>
      <c r="C359" s="1" t="s">
        <v>586</v>
      </c>
    </row>
    <row r="360" spans="1:3" x14ac:dyDescent="0.25">
      <c r="A360" s="1" t="s">
        <v>601</v>
      </c>
      <c r="B360" s="1" t="s">
        <v>602</v>
      </c>
      <c r="C360" s="1" t="s">
        <v>586</v>
      </c>
    </row>
    <row r="361" spans="1:3" x14ac:dyDescent="0.25">
      <c r="A361" s="1" t="s">
        <v>603</v>
      </c>
      <c r="B361" s="1" t="s">
        <v>604</v>
      </c>
      <c r="C361" s="1" t="s">
        <v>586</v>
      </c>
    </row>
    <row r="362" spans="1:3" x14ac:dyDescent="0.25">
      <c r="A362" s="1" t="s">
        <v>605</v>
      </c>
      <c r="B362" s="1" t="s">
        <v>606</v>
      </c>
      <c r="C362" s="1" t="s">
        <v>586</v>
      </c>
    </row>
    <row r="363" spans="1:3" x14ac:dyDescent="0.25">
      <c r="A363" s="1" t="s">
        <v>607</v>
      </c>
      <c r="B363" s="1" t="s">
        <v>608</v>
      </c>
      <c r="C363" s="1" t="s">
        <v>586</v>
      </c>
    </row>
    <row r="364" spans="1:3" x14ac:dyDescent="0.25">
      <c r="A364" s="1" t="s">
        <v>609</v>
      </c>
      <c r="B364" s="1" t="s">
        <v>610</v>
      </c>
      <c r="C364" s="1" t="s">
        <v>586</v>
      </c>
    </row>
    <row r="365" spans="1:3" x14ac:dyDescent="0.25">
      <c r="A365" s="1" t="s">
        <v>611</v>
      </c>
      <c r="B365" s="1" t="s">
        <v>612</v>
      </c>
      <c r="C365" s="1" t="s">
        <v>586</v>
      </c>
    </row>
    <row r="366" spans="1:3" x14ac:dyDescent="0.25">
      <c r="A366" s="1" t="s">
        <v>38</v>
      </c>
      <c r="B366" s="1" t="s">
        <v>613</v>
      </c>
      <c r="C366" s="1" t="s">
        <v>586</v>
      </c>
    </row>
    <row r="367" spans="1:3" x14ac:dyDescent="0.25">
      <c r="A367" s="1" t="s">
        <v>614</v>
      </c>
      <c r="B367" s="1" t="s">
        <v>615</v>
      </c>
      <c r="C367" s="1" t="s">
        <v>586</v>
      </c>
    </row>
    <row r="368" spans="1:3" x14ac:dyDescent="0.25">
      <c r="A368" s="1" t="s">
        <v>616</v>
      </c>
      <c r="B368" s="1" t="s">
        <v>617</v>
      </c>
      <c r="C368" s="1" t="s">
        <v>586</v>
      </c>
    </row>
    <row r="369" spans="1:3" x14ac:dyDescent="0.25">
      <c r="A369" s="1" t="s">
        <v>618</v>
      </c>
      <c r="B369" s="1" t="s">
        <v>619</v>
      </c>
      <c r="C369" s="1" t="s">
        <v>586</v>
      </c>
    </row>
    <row r="370" spans="1:3" x14ac:dyDescent="0.25">
      <c r="A370" s="1" t="s">
        <v>11</v>
      </c>
      <c r="B370" s="1" t="s">
        <v>617</v>
      </c>
      <c r="C370" s="1" t="s">
        <v>586</v>
      </c>
    </row>
    <row r="371" spans="1:3" x14ac:dyDescent="0.25">
      <c r="A371" s="1" t="s">
        <v>76</v>
      </c>
      <c r="B371" s="1" t="s">
        <v>620</v>
      </c>
      <c r="C371" s="1" t="s">
        <v>586</v>
      </c>
    </row>
    <row r="372" spans="1:3" x14ac:dyDescent="0.25">
      <c r="A372" s="1" t="s">
        <v>621</v>
      </c>
      <c r="B372" s="1" t="s">
        <v>622</v>
      </c>
      <c r="C372" s="1" t="s">
        <v>586</v>
      </c>
    </row>
    <row r="373" spans="1:3" x14ac:dyDescent="0.25">
      <c r="A373" s="1" t="s">
        <v>623</v>
      </c>
      <c r="B373" s="1" t="s">
        <v>6</v>
      </c>
      <c r="C373" s="1" t="s">
        <v>586</v>
      </c>
    </row>
    <row r="374" spans="1:3" x14ac:dyDescent="0.25">
      <c r="A374" s="1" t="s">
        <v>624</v>
      </c>
      <c r="B374" s="1" t="s">
        <v>625</v>
      </c>
      <c r="C374" s="1" t="s">
        <v>586</v>
      </c>
    </row>
    <row r="375" spans="1:3" x14ac:dyDescent="0.25">
      <c r="A375" s="1" t="s">
        <v>626</v>
      </c>
      <c r="B375" s="1" t="s">
        <v>598</v>
      </c>
      <c r="C375" s="1" t="s">
        <v>586</v>
      </c>
    </row>
    <row r="376" spans="1:3" x14ac:dyDescent="0.25">
      <c r="A376" s="1" t="s">
        <v>627</v>
      </c>
      <c r="B376" s="1" t="s">
        <v>628</v>
      </c>
      <c r="C376" s="1" t="s">
        <v>586</v>
      </c>
    </row>
    <row r="377" spans="1:3" x14ac:dyDescent="0.25">
      <c r="A377" s="1" t="s">
        <v>629</v>
      </c>
      <c r="B377" s="1" t="s">
        <v>6</v>
      </c>
      <c r="C377" s="1" t="s">
        <v>586</v>
      </c>
    </row>
    <row r="378" spans="1:3" x14ac:dyDescent="0.25">
      <c r="A378" s="1" t="s">
        <v>630</v>
      </c>
      <c r="B378" s="1" t="s">
        <v>631</v>
      </c>
      <c r="C378" s="1" t="s">
        <v>586</v>
      </c>
    </row>
    <row r="379" spans="1:3" x14ac:dyDescent="0.25">
      <c r="A379" s="1" t="s">
        <v>632</v>
      </c>
      <c r="B379" s="1" t="s">
        <v>633</v>
      </c>
      <c r="C379" s="1" t="s">
        <v>586</v>
      </c>
    </row>
    <row r="380" spans="1:3" x14ac:dyDescent="0.25">
      <c r="A380" s="1" t="s">
        <v>634</v>
      </c>
      <c r="B380" s="1" t="s">
        <v>635</v>
      </c>
      <c r="C380" s="1" t="s">
        <v>586</v>
      </c>
    </row>
    <row r="381" spans="1:3" x14ac:dyDescent="0.25">
      <c r="A381" s="1" t="s">
        <v>632</v>
      </c>
      <c r="B381" s="1" t="s">
        <v>636</v>
      </c>
      <c r="C381" s="1" t="s">
        <v>586</v>
      </c>
    </row>
    <row r="382" spans="1:3" x14ac:dyDescent="0.25">
      <c r="A382" s="1" t="s">
        <v>637</v>
      </c>
      <c r="B382" s="1" t="s">
        <v>638</v>
      </c>
      <c r="C382" s="1" t="s">
        <v>586</v>
      </c>
    </row>
    <row r="383" spans="1:3" x14ac:dyDescent="0.25">
      <c r="A383" s="1" t="s">
        <v>639</v>
      </c>
      <c r="B383" s="1" t="s">
        <v>640</v>
      </c>
      <c r="C383" s="1" t="s">
        <v>586</v>
      </c>
    </row>
    <row r="384" spans="1:3" x14ac:dyDescent="0.25">
      <c r="A384" s="1" t="s">
        <v>641</v>
      </c>
      <c r="B384" s="1" t="s">
        <v>642</v>
      </c>
      <c r="C384" s="1" t="s">
        <v>586</v>
      </c>
    </row>
    <row r="385" spans="1:3" x14ac:dyDescent="0.25">
      <c r="A385" s="1" t="s">
        <v>643</v>
      </c>
      <c r="B385" s="1" t="s">
        <v>244</v>
      </c>
      <c r="C385" s="1" t="s">
        <v>586</v>
      </c>
    </row>
    <row r="386" spans="1:3" x14ac:dyDescent="0.25">
      <c r="A386" s="1" t="s">
        <v>644</v>
      </c>
      <c r="B386" s="1" t="s">
        <v>34</v>
      </c>
      <c r="C386" s="1" t="s">
        <v>586</v>
      </c>
    </row>
    <row r="387" spans="1:3" x14ac:dyDescent="0.25">
      <c r="A387" s="1" t="s">
        <v>641</v>
      </c>
      <c r="B387" s="1" t="s">
        <v>645</v>
      </c>
      <c r="C387" s="1" t="s">
        <v>586</v>
      </c>
    </row>
    <row r="388" spans="1:3" x14ac:dyDescent="0.25">
      <c r="A388" s="1" t="s">
        <v>646</v>
      </c>
      <c r="B388" s="1" t="s">
        <v>638</v>
      </c>
      <c r="C388" s="1" t="s">
        <v>586</v>
      </c>
    </row>
    <row r="389" spans="1:3" x14ac:dyDescent="0.25">
      <c r="A389" s="1" t="s">
        <v>647</v>
      </c>
      <c r="B389" s="1" t="s">
        <v>586</v>
      </c>
      <c r="C389" s="1" t="s">
        <v>586</v>
      </c>
    </row>
    <row r="390" spans="1:3" x14ac:dyDescent="0.25">
      <c r="A390" s="1" t="s">
        <v>648</v>
      </c>
      <c r="B390" s="1" t="s">
        <v>649</v>
      </c>
      <c r="C390" s="1" t="s">
        <v>586</v>
      </c>
    </row>
    <row r="391" spans="1:3" x14ac:dyDescent="0.25">
      <c r="A391" s="1" t="s">
        <v>650</v>
      </c>
      <c r="B391" s="1" t="s">
        <v>651</v>
      </c>
      <c r="C391" s="1" t="s">
        <v>586</v>
      </c>
    </row>
    <row r="392" spans="1:3" x14ac:dyDescent="0.25">
      <c r="A392" s="1" t="s">
        <v>652</v>
      </c>
      <c r="B392" s="1" t="s">
        <v>653</v>
      </c>
      <c r="C392" s="1" t="s">
        <v>586</v>
      </c>
    </row>
    <row r="393" spans="1:3" x14ac:dyDescent="0.25">
      <c r="A393" s="1" t="s">
        <v>654</v>
      </c>
      <c r="B393" s="1" t="s">
        <v>655</v>
      </c>
      <c r="C393" s="1" t="s">
        <v>586</v>
      </c>
    </row>
    <row r="394" spans="1:3" x14ac:dyDescent="0.25">
      <c r="A394" s="1" t="s">
        <v>270</v>
      </c>
      <c r="B394" s="1" t="s">
        <v>6</v>
      </c>
      <c r="C394" s="1" t="s">
        <v>586</v>
      </c>
    </row>
    <row r="395" spans="1:3" x14ac:dyDescent="0.25">
      <c r="A395" s="1" t="s">
        <v>656</v>
      </c>
      <c r="B395" s="1" t="s">
        <v>638</v>
      </c>
      <c r="C395" s="1" t="s">
        <v>586</v>
      </c>
    </row>
    <row r="396" spans="1:3" x14ac:dyDescent="0.25">
      <c r="A396" s="1" t="s">
        <v>657</v>
      </c>
      <c r="B396" s="1" t="s">
        <v>658</v>
      </c>
      <c r="C396" s="1" t="s">
        <v>586</v>
      </c>
    </row>
    <row r="397" spans="1:3" x14ac:dyDescent="0.25">
      <c r="A397" s="1" t="s">
        <v>659</v>
      </c>
      <c r="B397" s="1" t="s">
        <v>660</v>
      </c>
      <c r="C397" s="1" t="s">
        <v>586</v>
      </c>
    </row>
    <row r="398" spans="1:3" x14ac:dyDescent="0.25">
      <c r="A398" s="1" t="s">
        <v>661</v>
      </c>
      <c r="B398" s="1" t="s">
        <v>662</v>
      </c>
      <c r="C398" s="1" t="s">
        <v>586</v>
      </c>
    </row>
    <row r="399" spans="1:3" x14ac:dyDescent="0.25">
      <c r="A399" s="1" t="s">
        <v>663</v>
      </c>
      <c r="B399" s="1" t="s">
        <v>638</v>
      </c>
      <c r="C399" s="1" t="s">
        <v>586</v>
      </c>
    </row>
    <row r="400" spans="1:3" x14ac:dyDescent="0.25">
      <c r="A400" s="1" t="s">
        <v>664</v>
      </c>
      <c r="B400" s="1" t="s">
        <v>665</v>
      </c>
      <c r="C400" s="1" t="s">
        <v>586</v>
      </c>
    </row>
    <row r="401" spans="1:3" x14ac:dyDescent="0.25">
      <c r="A401" s="1" t="s">
        <v>666</v>
      </c>
      <c r="B401" s="1" t="s">
        <v>667</v>
      </c>
      <c r="C401" s="1" t="s">
        <v>668</v>
      </c>
    </row>
    <row r="402" spans="1:3" x14ac:dyDescent="0.25">
      <c r="A402" s="1" t="s">
        <v>669</v>
      </c>
      <c r="B402" s="1" t="s">
        <v>670</v>
      </c>
      <c r="C402" s="1" t="s">
        <v>668</v>
      </c>
    </row>
    <row r="403" spans="1:3" x14ac:dyDescent="0.25">
      <c r="A403" s="1" t="s">
        <v>671</v>
      </c>
      <c r="B403" s="1" t="s">
        <v>672</v>
      </c>
      <c r="C403" s="1" t="s">
        <v>668</v>
      </c>
    </row>
    <row r="404" spans="1:3" x14ac:dyDescent="0.25">
      <c r="A404" s="1" t="s">
        <v>673</v>
      </c>
      <c r="B404" s="1" t="s">
        <v>674</v>
      </c>
      <c r="C404" s="1" t="s">
        <v>668</v>
      </c>
    </row>
    <row r="405" spans="1:3" x14ac:dyDescent="0.25">
      <c r="A405" s="1" t="s">
        <v>675</v>
      </c>
      <c r="B405" s="1" t="s">
        <v>6</v>
      </c>
      <c r="C405" s="1" t="s">
        <v>668</v>
      </c>
    </row>
    <row r="406" spans="1:3" x14ac:dyDescent="0.25">
      <c r="A406" s="1" t="s">
        <v>676</v>
      </c>
      <c r="B406" s="1" t="s">
        <v>6</v>
      </c>
      <c r="C406" s="1" t="s">
        <v>668</v>
      </c>
    </row>
    <row r="407" spans="1:3" x14ac:dyDescent="0.25">
      <c r="A407" s="1" t="s">
        <v>677</v>
      </c>
      <c r="B407" s="1" t="s">
        <v>6</v>
      </c>
      <c r="C407" s="1" t="s">
        <v>668</v>
      </c>
    </row>
    <row r="408" spans="1:3" x14ac:dyDescent="0.25">
      <c r="A408" s="1" t="s">
        <v>678</v>
      </c>
      <c r="B408" s="1" t="s">
        <v>6</v>
      </c>
      <c r="C408" s="1" t="s">
        <v>668</v>
      </c>
    </row>
    <row r="409" spans="1:3" x14ac:dyDescent="0.25">
      <c r="A409" s="1" t="s">
        <v>679</v>
      </c>
      <c r="B409" s="1" t="s">
        <v>6</v>
      </c>
      <c r="C409" s="1" t="s">
        <v>668</v>
      </c>
    </row>
    <row r="410" spans="1:3" x14ac:dyDescent="0.25">
      <c r="A410" s="1" t="s">
        <v>680</v>
      </c>
      <c r="B410" s="1" t="s">
        <v>681</v>
      </c>
      <c r="C410" s="1" t="s">
        <v>668</v>
      </c>
    </row>
    <row r="411" spans="1:3" x14ac:dyDescent="0.25">
      <c r="A411" s="1" t="s">
        <v>682</v>
      </c>
      <c r="B411" s="1" t="s">
        <v>683</v>
      </c>
      <c r="C411" s="1" t="s">
        <v>668</v>
      </c>
    </row>
    <row r="412" spans="1:3" x14ac:dyDescent="0.25">
      <c r="A412" s="1" t="s">
        <v>684</v>
      </c>
      <c r="B412" s="1" t="s">
        <v>685</v>
      </c>
      <c r="C412" s="1" t="s">
        <v>668</v>
      </c>
    </row>
    <row r="413" spans="1:3" x14ac:dyDescent="0.25">
      <c r="A413" s="1" t="s">
        <v>686</v>
      </c>
      <c r="B413" s="1" t="s">
        <v>687</v>
      </c>
      <c r="C413" s="1" t="s">
        <v>668</v>
      </c>
    </row>
    <row r="414" spans="1:3" x14ac:dyDescent="0.25">
      <c r="A414" s="1" t="s">
        <v>688</v>
      </c>
      <c r="B414" s="1" t="s">
        <v>689</v>
      </c>
      <c r="C414" s="1" t="s">
        <v>668</v>
      </c>
    </row>
    <row r="415" spans="1:3" x14ac:dyDescent="0.25">
      <c r="A415" s="1" t="s">
        <v>690</v>
      </c>
      <c r="B415" s="1" t="s">
        <v>691</v>
      </c>
      <c r="C415" s="1" t="s">
        <v>668</v>
      </c>
    </row>
    <row r="416" spans="1:3" x14ac:dyDescent="0.25">
      <c r="A416" s="1" t="s">
        <v>692</v>
      </c>
      <c r="B416" s="1" t="s">
        <v>693</v>
      </c>
      <c r="C416" s="1" t="s">
        <v>668</v>
      </c>
    </row>
    <row r="417" spans="1:3" x14ac:dyDescent="0.25">
      <c r="A417" s="1" t="s">
        <v>694</v>
      </c>
      <c r="B417" s="1" t="s">
        <v>695</v>
      </c>
      <c r="C417" s="1" t="s">
        <v>668</v>
      </c>
    </row>
    <row r="418" spans="1:3" x14ac:dyDescent="0.25">
      <c r="A418" s="1" t="s">
        <v>696</v>
      </c>
      <c r="B418" s="1" t="s">
        <v>697</v>
      </c>
      <c r="C418" s="1" t="s">
        <v>668</v>
      </c>
    </row>
    <row r="419" spans="1:3" x14ac:dyDescent="0.25">
      <c r="A419" s="1" t="s">
        <v>698</v>
      </c>
      <c r="B419" s="1" t="s">
        <v>34</v>
      </c>
      <c r="C419" s="1" t="s">
        <v>668</v>
      </c>
    </row>
    <row r="420" spans="1:3" x14ac:dyDescent="0.25">
      <c r="A420" s="1" t="s">
        <v>699</v>
      </c>
      <c r="B420" s="1" t="s">
        <v>700</v>
      </c>
      <c r="C420" s="1" t="s">
        <v>668</v>
      </c>
    </row>
    <row r="421" spans="1:3" x14ac:dyDescent="0.25">
      <c r="A421" s="1" t="s">
        <v>701</v>
      </c>
      <c r="B421" s="1" t="s">
        <v>702</v>
      </c>
      <c r="C421" s="1" t="s">
        <v>668</v>
      </c>
    </row>
    <row r="422" spans="1:3" x14ac:dyDescent="0.25">
      <c r="A422" s="1" t="s">
        <v>703</v>
      </c>
      <c r="B422" s="1" t="s">
        <v>704</v>
      </c>
      <c r="C422" s="1" t="s">
        <v>668</v>
      </c>
    </row>
    <row r="423" spans="1:3" x14ac:dyDescent="0.25">
      <c r="A423" s="1" t="s">
        <v>705</v>
      </c>
      <c r="B423" s="1" t="s">
        <v>706</v>
      </c>
      <c r="C423" s="1" t="s">
        <v>668</v>
      </c>
    </row>
    <row r="424" spans="1:3" x14ac:dyDescent="0.25">
      <c r="A424" s="1" t="s">
        <v>707</v>
      </c>
      <c r="B424" s="1" t="s">
        <v>708</v>
      </c>
      <c r="C424" s="1" t="s">
        <v>668</v>
      </c>
    </row>
    <row r="425" spans="1:3" x14ac:dyDescent="0.25">
      <c r="A425" s="1" t="s">
        <v>709</v>
      </c>
      <c r="B425" s="1" t="s">
        <v>710</v>
      </c>
      <c r="C425" s="1" t="s">
        <v>668</v>
      </c>
    </row>
    <row r="426" spans="1:3" x14ac:dyDescent="0.25">
      <c r="A426" s="1" t="s">
        <v>711</v>
      </c>
      <c r="B426" s="1" t="s">
        <v>712</v>
      </c>
      <c r="C426" s="1" t="s">
        <v>668</v>
      </c>
    </row>
    <row r="427" spans="1:3" x14ac:dyDescent="0.25">
      <c r="A427" s="1" t="s">
        <v>713</v>
      </c>
      <c r="B427" s="1" t="s">
        <v>714</v>
      </c>
      <c r="C427" s="1" t="s">
        <v>668</v>
      </c>
    </row>
    <row r="428" spans="1:3" x14ac:dyDescent="0.25">
      <c r="A428" s="1" t="s">
        <v>715</v>
      </c>
      <c r="B428" s="1" t="s">
        <v>716</v>
      </c>
      <c r="C428" s="1" t="s">
        <v>668</v>
      </c>
    </row>
    <row r="429" spans="1:3" x14ac:dyDescent="0.25">
      <c r="A429" s="1" t="s">
        <v>717</v>
      </c>
      <c r="B429" s="1" t="s">
        <v>718</v>
      </c>
      <c r="C429" s="1" t="s">
        <v>668</v>
      </c>
    </row>
    <row r="430" spans="1:3" x14ac:dyDescent="0.25">
      <c r="A430" s="1" t="s">
        <v>719</v>
      </c>
      <c r="B430" s="1" t="s">
        <v>720</v>
      </c>
      <c r="C430" s="1" t="s">
        <v>668</v>
      </c>
    </row>
    <row r="431" spans="1:3" x14ac:dyDescent="0.25">
      <c r="A431" s="1" t="s">
        <v>721</v>
      </c>
      <c r="B431" s="1" t="s">
        <v>722</v>
      </c>
      <c r="C431" s="1" t="s">
        <v>668</v>
      </c>
    </row>
    <row r="432" spans="1:3" x14ac:dyDescent="0.25">
      <c r="A432" s="1" t="s">
        <v>641</v>
      </c>
      <c r="B432" s="1" t="s">
        <v>691</v>
      </c>
      <c r="C432" s="1" t="s">
        <v>668</v>
      </c>
    </row>
    <row r="433" spans="1:3" x14ac:dyDescent="0.25">
      <c r="A433" s="1" t="s">
        <v>723</v>
      </c>
      <c r="B433" s="1" t="s">
        <v>724</v>
      </c>
      <c r="C433" s="1" t="s">
        <v>668</v>
      </c>
    </row>
    <row r="434" spans="1:3" x14ac:dyDescent="0.25">
      <c r="A434" s="1" t="s">
        <v>725</v>
      </c>
      <c r="B434" s="1" t="s">
        <v>726</v>
      </c>
      <c r="C434" s="1" t="s">
        <v>727</v>
      </c>
    </row>
    <row r="435" spans="1:3" x14ac:dyDescent="0.25">
      <c r="A435" s="1" t="s">
        <v>530</v>
      </c>
      <c r="B435" s="1" t="s">
        <v>728</v>
      </c>
      <c r="C435" s="1" t="s">
        <v>727</v>
      </c>
    </row>
    <row r="436" spans="1:3" x14ac:dyDescent="0.25">
      <c r="A436" s="1" t="s">
        <v>729</v>
      </c>
      <c r="B436" s="1" t="s">
        <v>730</v>
      </c>
      <c r="C436" s="1" t="s">
        <v>727</v>
      </c>
    </row>
    <row r="437" spans="1:3" x14ac:dyDescent="0.25">
      <c r="A437" s="1" t="s">
        <v>731</v>
      </c>
      <c r="B437" s="1" t="s">
        <v>732</v>
      </c>
      <c r="C437" s="1" t="s">
        <v>727</v>
      </c>
    </row>
    <row r="438" spans="1:3" x14ac:dyDescent="0.25">
      <c r="A438" s="1" t="s">
        <v>733</v>
      </c>
      <c r="B438" s="1" t="s">
        <v>734</v>
      </c>
      <c r="C438" s="1" t="s">
        <v>727</v>
      </c>
    </row>
    <row r="439" spans="1:3" x14ac:dyDescent="0.25">
      <c r="A439" s="1" t="s">
        <v>735</v>
      </c>
      <c r="B439" s="1" t="s">
        <v>736</v>
      </c>
      <c r="C439" s="1" t="s">
        <v>727</v>
      </c>
    </row>
    <row r="440" spans="1:3" x14ac:dyDescent="0.25">
      <c r="A440" s="1" t="s">
        <v>737</v>
      </c>
      <c r="B440" s="1" t="s">
        <v>6</v>
      </c>
      <c r="C440" s="1" t="s">
        <v>727</v>
      </c>
    </row>
    <row r="441" spans="1:3" x14ac:dyDescent="0.25">
      <c r="A441" s="1" t="s">
        <v>738</v>
      </c>
      <c r="B441" s="1" t="s">
        <v>739</v>
      </c>
      <c r="C441" s="1" t="s">
        <v>727</v>
      </c>
    </row>
    <row r="442" spans="1:3" x14ac:dyDescent="0.25">
      <c r="A442" s="1" t="s">
        <v>740</v>
      </c>
      <c r="B442" s="1" t="s">
        <v>741</v>
      </c>
      <c r="C442" s="1" t="s">
        <v>727</v>
      </c>
    </row>
    <row r="443" spans="1:3" x14ac:dyDescent="0.25">
      <c r="A443" s="1" t="s">
        <v>742</v>
      </c>
      <c r="B443" s="1" t="s">
        <v>743</v>
      </c>
      <c r="C443" s="1" t="s">
        <v>727</v>
      </c>
    </row>
    <row r="444" spans="1:3" x14ac:dyDescent="0.25">
      <c r="A444" s="1" t="s">
        <v>744</v>
      </c>
      <c r="B444" s="1" t="s">
        <v>745</v>
      </c>
      <c r="C444" s="1" t="s">
        <v>727</v>
      </c>
    </row>
    <row r="445" spans="1:3" x14ac:dyDescent="0.25">
      <c r="A445" s="1" t="s">
        <v>746</v>
      </c>
      <c r="B445" s="1" t="s">
        <v>6</v>
      </c>
      <c r="C445" s="1" t="s">
        <v>727</v>
      </c>
    </row>
    <row r="446" spans="1:3" x14ac:dyDescent="0.25">
      <c r="A446" s="1" t="s">
        <v>747</v>
      </c>
      <c r="B446" s="1" t="s">
        <v>6</v>
      </c>
      <c r="C446" s="1" t="s">
        <v>727</v>
      </c>
    </row>
    <row r="447" spans="1:3" x14ac:dyDescent="0.25">
      <c r="A447" s="1" t="s">
        <v>748</v>
      </c>
      <c r="B447" s="1" t="s">
        <v>6</v>
      </c>
      <c r="C447" s="1" t="s">
        <v>727</v>
      </c>
    </row>
    <row r="448" spans="1:3" x14ac:dyDescent="0.25">
      <c r="A448" s="1" t="s">
        <v>749</v>
      </c>
      <c r="B448" s="1" t="s">
        <v>750</v>
      </c>
      <c r="C448" s="1" t="s">
        <v>727</v>
      </c>
    </row>
    <row r="449" spans="1:3" x14ac:dyDescent="0.25">
      <c r="A449" s="1" t="s">
        <v>751</v>
      </c>
      <c r="B449" s="1" t="s">
        <v>752</v>
      </c>
      <c r="C449" s="1" t="s">
        <v>727</v>
      </c>
    </row>
    <row r="450" spans="1:3" x14ac:dyDescent="0.25">
      <c r="A450" s="1" t="s">
        <v>753</v>
      </c>
      <c r="B450" s="1" t="s">
        <v>754</v>
      </c>
      <c r="C450" s="1" t="s">
        <v>727</v>
      </c>
    </row>
    <row r="451" spans="1:3" x14ac:dyDescent="0.25">
      <c r="A451" s="1" t="s">
        <v>755</v>
      </c>
      <c r="B451" s="1" t="s">
        <v>756</v>
      </c>
      <c r="C451" s="1" t="s">
        <v>727</v>
      </c>
    </row>
    <row r="452" spans="1:3" x14ac:dyDescent="0.25">
      <c r="A452" s="1" t="s">
        <v>757</v>
      </c>
      <c r="B452" s="1" t="s">
        <v>758</v>
      </c>
      <c r="C452" s="1" t="s">
        <v>727</v>
      </c>
    </row>
    <row r="453" spans="1:3" x14ac:dyDescent="0.25">
      <c r="A453" s="1" t="s">
        <v>759</v>
      </c>
      <c r="B453" s="1" t="s">
        <v>760</v>
      </c>
      <c r="C453" s="1" t="s">
        <v>727</v>
      </c>
    </row>
    <row r="454" spans="1:3" x14ac:dyDescent="0.25">
      <c r="A454" s="1" t="s">
        <v>761</v>
      </c>
      <c r="B454" s="1" t="s">
        <v>762</v>
      </c>
      <c r="C454" s="1" t="s">
        <v>727</v>
      </c>
    </row>
    <row r="455" spans="1:3" x14ac:dyDescent="0.25">
      <c r="A455" s="1" t="s">
        <v>763</v>
      </c>
      <c r="B455" s="1" t="s">
        <v>244</v>
      </c>
      <c r="C455" s="1" t="s">
        <v>727</v>
      </c>
    </row>
    <row r="456" spans="1:3" x14ac:dyDescent="0.25">
      <c r="A456" s="1" t="s">
        <v>764</v>
      </c>
      <c r="B456" s="1" t="s">
        <v>765</v>
      </c>
      <c r="C456" s="1" t="s">
        <v>727</v>
      </c>
    </row>
    <row r="457" spans="1:3" x14ac:dyDescent="0.25">
      <c r="A457" s="1" t="s">
        <v>38</v>
      </c>
      <c r="B457" s="1" t="s">
        <v>766</v>
      </c>
      <c r="C457" s="1" t="s">
        <v>727</v>
      </c>
    </row>
    <row r="458" spans="1:3" x14ac:dyDescent="0.25">
      <c r="A458" s="1" t="s">
        <v>767</v>
      </c>
      <c r="B458" s="1" t="s">
        <v>768</v>
      </c>
      <c r="C458" s="1" t="s">
        <v>727</v>
      </c>
    </row>
    <row r="459" spans="1:3" x14ac:dyDescent="0.25">
      <c r="A459" s="1" t="s">
        <v>769</v>
      </c>
      <c r="B459" s="1" t="s">
        <v>770</v>
      </c>
      <c r="C459" s="1" t="s">
        <v>727</v>
      </c>
    </row>
    <row r="460" spans="1:3" x14ac:dyDescent="0.25">
      <c r="A460" s="1" t="s">
        <v>771</v>
      </c>
      <c r="B460" s="1" t="s">
        <v>244</v>
      </c>
      <c r="C460" s="1" t="s">
        <v>727</v>
      </c>
    </row>
    <row r="461" spans="1:3" x14ac:dyDescent="0.25">
      <c r="A461" s="1" t="s">
        <v>772</v>
      </c>
      <c r="B461" s="1" t="s">
        <v>773</v>
      </c>
      <c r="C461" s="1" t="s">
        <v>727</v>
      </c>
    </row>
    <row r="462" spans="1:3" x14ac:dyDescent="0.25">
      <c r="A462" s="1" t="s">
        <v>774</v>
      </c>
      <c r="B462" s="1" t="s">
        <v>34</v>
      </c>
      <c r="C462" s="1" t="s">
        <v>727</v>
      </c>
    </row>
    <row r="463" spans="1:3" x14ac:dyDescent="0.25">
      <c r="A463" s="1" t="s">
        <v>775</v>
      </c>
      <c r="B463" s="1" t="s">
        <v>776</v>
      </c>
      <c r="C463" s="1" t="s">
        <v>727</v>
      </c>
    </row>
    <row r="464" spans="1:3" x14ac:dyDescent="0.25">
      <c r="A464" s="1" t="s">
        <v>777</v>
      </c>
      <c r="B464" s="1" t="s">
        <v>34</v>
      </c>
      <c r="C464" s="1" t="s">
        <v>727</v>
      </c>
    </row>
    <row r="465" spans="1:3" x14ac:dyDescent="0.25">
      <c r="A465" s="1" t="s">
        <v>778</v>
      </c>
      <c r="B465" s="1" t="s">
        <v>779</v>
      </c>
      <c r="C465" s="1" t="s">
        <v>727</v>
      </c>
    </row>
    <row r="466" spans="1:3" x14ac:dyDescent="0.25">
      <c r="A466" s="1" t="s">
        <v>780</v>
      </c>
      <c r="B466" s="1" t="s">
        <v>6</v>
      </c>
      <c r="C466" s="1" t="s">
        <v>727</v>
      </c>
    </row>
    <row r="467" spans="1:3" x14ac:dyDescent="0.25">
      <c r="A467" s="1" t="s">
        <v>781</v>
      </c>
      <c r="B467" s="1" t="s">
        <v>782</v>
      </c>
      <c r="C467" s="1" t="s">
        <v>727</v>
      </c>
    </row>
    <row r="468" spans="1:3" x14ac:dyDescent="0.25">
      <c r="A468" s="1" t="s">
        <v>783</v>
      </c>
      <c r="B468" s="1" t="s">
        <v>784</v>
      </c>
      <c r="C468" s="1" t="s">
        <v>785</v>
      </c>
    </row>
    <row r="469" spans="1:3" x14ac:dyDescent="0.25">
      <c r="A469" s="1" t="s">
        <v>786</v>
      </c>
      <c r="B469" s="1" t="s">
        <v>787</v>
      </c>
      <c r="C469" s="1" t="s">
        <v>785</v>
      </c>
    </row>
    <row r="470" spans="1:3" x14ac:dyDescent="0.25">
      <c r="A470" s="1" t="s">
        <v>788</v>
      </c>
      <c r="B470" s="1" t="s">
        <v>789</v>
      </c>
      <c r="C470" s="1" t="s">
        <v>785</v>
      </c>
    </row>
    <row r="471" spans="1:3" x14ac:dyDescent="0.25">
      <c r="A471" s="1" t="s">
        <v>790</v>
      </c>
      <c r="B471" s="1" t="s">
        <v>791</v>
      </c>
      <c r="C471" s="1" t="s">
        <v>785</v>
      </c>
    </row>
    <row r="472" spans="1:3" x14ac:dyDescent="0.25">
      <c r="A472" s="1" t="s">
        <v>792</v>
      </c>
      <c r="B472" s="1" t="s">
        <v>6</v>
      </c>
      <c r="C472" s="1" t="s">
        <v>785</v>
      </c>
    </row>
    <row r="473" spans="1:3" x14ac:dyDescent="0.25">
      <c r="A473" s="1" t="s">
        <v>793</v>
      </c>
      <c r="B473" s="1" t="s">
        <v>794</v>
      </c>
      <c r="C473" s="1" t="s">
        <v>785</v>
      </c>
    </row>
    <row r="474" spans="1:3" x14ac:dyDescent="0.25">
      <c r="A474" s="1" t="s">
        <v>795</v>
      </c>
      <c r="B474" s="1" t="s">
        <v>796</v>
      </c>
      <c r="C474" s="1" t="s">
        <v>785</v>
      </c>
    </row>
    <row r="475" spans="1:3" x14ac:dyDescent="0.25">
      <c r="A475" s="1" t="s">
        <v>797</v>
      </c>
      <c r="B475" s="1" t="s">
        <v>798</v>
      </c>
      <c r="C475" s="1" t="s">
        <v>785</v>
      </c>
    </row>
    <row r="476" spans="1:3" x14ac:dyDescent="0.25">
      <c r="A476" s="1" t="s">
        <v>799</v>
      </c>
      <c r="B476" s="1" t="s">
        <v>6</v>
      </c>
      <c r="C476" s="1" t="s">
        <v>785</v>
      </c>
    </row>
    <row r="477" spans="1:3" x14ac:dyDescent="0.25">
      <c r="A477" s="1" t="s">
        <v>800</v>
      </c>
      <c r="B477" s="1" t="s">
        <v>6</v>
      </c>
      <c r="C477" s="1" t="s">
        <v>785</v>
      </c>
    </row>
    <row r="478" spans="1:3" x14ac:dyDescent="0.25">
      <c r="A478" s="1" t="s">
        <v>801</v>
      </c>
      <c r="B478" s="1" t="s">
        <v>802</v>
      </c>
      <c r="C478" s="1" t="s">
        <v>785</v>
      </c>
    </row>
    <row r="479" spans="1:3" x14ac:dyDescent="0.25">
      <c r="A479" s="1" t="s">
        <v>803</v>
      </c>
      <c r="B479" s="1" t="s">
        <v>6</v>
      </c>
      <c r="C479" s="1" t="s">
        <v>785</v>
      </c>
    </row>
    <row r="480" spans="1:3" x14ac:dyDescent="0.25">
      <c r="A480" s="1" t="s">
        <v>804</v>
      </c>
      <c r="B480" s="1" t="s">
        <v>805</v>
      </c>
      <c r="C480" s="1" t="s">
        <v>785</v>
      </c>
    </row>
    <row r="481" spans="1:3" x14ac:dyDescent="0.25">
      <c r="A481" s="1" t="s">
        <v>806</v>
      </c>
      <c r="B481" s="1" t="s">
        <v>807</v>
      </c>
      <c r="C481" s="1" t="s">
        <v>785</v>
      </c>
    </row>
    <row r="482" spans="1:3" x14ac:dyDescent="0.25">
      <c r="A482" s="1" t="s">
        <v>808</v>
      </c>
      <c r="B482" s="1" t="s">
        <v>809</v>
      </c>
      <c r="C482" s="1" t="s">
        <v>785</v>
      </c>
    </row>
    <row r="483" spans="1:3" x14ac:dyDescent="0.25">
      <c r="A483" s="1" t="s">
        <v>810</v>
      </c>
      <c r="B483" s="1" t="s">
        <v>6</v>
      </c>
      <c r="C483" s="1" t="s">
        <v>785</v>
      </c>
    </row>
    <row r="484" spans="1:3" x14ac:dyDescent="0.25">
      <c r="A484" s="1" t="s">
        <v>811</v>
      </c>
      <c r="B484" s="1" t="s">
        <v>812</v>
      </c>
      <c r="C484" s="1" t="s">
        <v>785</v>
      </c>
    </row>
    <row r="485" spans="1:3" x14ac:dyDescent="0.25">
      <c r="A485" s="1" t="s">
        <v>813</v>
      </c>
      <c r="B485" s="1" t="s">
        <v>814</v>
      </c>
      <c r="C485" s="1" t="s">
        <v>785</v>
      </c>
    </row>
    <row r="486" spans="1:3" x14ac:dyDescent="0.25">
      <c r="A486" s="1" t="s">
        <v>815</v>
      </c>
      <c r="B486" s="1" t="s">
        <v>816</v>
      </c>
      <c r="C486" s="1" t="s">
        <v>785</v>
      </c>
    </row>
    <row r="487" spans="1:3" x14ac:dyDescent="0.25">
      <c r="A487" s="1" t="s">
        <v>817</v>
      </c>
      <c r="B487" s="1" t="s">
        <v>34</v>
      </c>
      <c r="C487" s="1" t="s">
        <v>785</v>
      </c>
    </row>
    <row r="488" spans="1:3" x14ac:dyDescent="0.25">
      <c r="A488" s="1" t="s">
        <v>818</v>
      </c>
      <c r="B488" s="1" t="s">
        <v>819</v>
      </c>
      <c r="C488" s="1" t="s">
        <v>785</v>
      </c>
    </row>
    <row r="489" spans="1:3" x14ac:dyDescent="0.25">
      <c r="A489" s="1" t="s">
        <v>820</v>
      </c>
      <c r="B489" s="1" t="s">
        <v>821</v>
      </c>
      <c r="C489" s="1" t="s">
        <v>785</v>
      </c>
    </row>
    <row r="490" spans="1:3" x14ac:dyDescent="0.25">
      <c r="A490" s="1" t="s">
        <v>822</v>
      </c>
      <c r="B490" s="1" t="s">
        <v>823</v>
      </c>
      <c r="C490" s="1" t="s">
        <v>785</v>
      </c>
    </row>
    <row r="491" spans="1:3" x14ac:dyDescent="0.25">
      <c r="A491" s="1" t="s">
        <v>824</v>
      </c>
      <c r="B491" s="1" t="s">
        <v>825</v>
      </c>
      <c r="C491" s="1" t="s">
        <v>785</v>
      </c>
    </row>
    <row r="492" spans="1:3" x14ac:dyDescent="0.25">
      <c r="A492" s="1" t="s">
        <v>826</v>
      </c>
      <c r="B492" s="1" t="s">
        <v>827</v>
      </c>
      <c r="C492" s="1" t="s">
        <v>785</v>
      </c>
    </row>
    <row r="493" spans="1:3" x14ac:dyDescent="0.25">
      <c r="A493" s="1" t="s">
        <v>828</v>
      </c>
      <c r="B493" s="1" t="s">
        <v>829</v>
      </c>
      <c r="C493" s="1" t="s">
        <v>785</v>
      </c>
    </row>
    <row r="494" spans="1:3" x14ac:dyDescent="0.25">
      <c r="A494" s="1" t="s">
        <v>830</v>
      </c>
      <c r="B494" s="1" t="s">
        <v>831</v>
      </c>
      <c r="C494" s="1" t="s">
        <v>785</v>
      </c>
    </row>
    <row r="495" spans="1:3" x14ac:dyDescent="0.25">
      <c r="A495" s="1" t="s">
        <v>832</v>
      </c>
      <c r="B495" s="1" t="s">
        <v>833</v>
      </c>
      <c r="C495" s="1" t="s">
        <v>785</v>
      </c>
    </row>
    <row r="496" spans="1:3" x14ac:dyDescent="0.25">
      <c r="A496" s="1" t="s">
        <v>834</v>
      </c>
      <c r="B496" s="1" t="s">
        <v>6</v>
      </c>
      <c r="C496" s="1" t="s">
        <v>785</v>
      </c>
    </row>
    <row r="497" spans="1:3" x14ac:dyDescent="0.25">
      <c r="A497" s="1" t="s">
        <v>835</v>
      </c>
      <c r="B497" s="1" t="s">
        <v>6</v>
      </c>
      <c r="C497" s="1" t="s">
        <v>785</v>
      </c>
    </row>
    <row r="498" spans="1:3" x14ac:dyDescent="0.25">
      <c r="A498" s="1" t="s">
        <v>836</v>
      </c>
      <c r="B498" s="1" t="s">
        <v>837</v>
      </c>
      <c r="C498" s="1" t="s">
        <v>785</v>
      </c>
    </row>
    <row r="499" spans="1:3" x14ac:dyDescent="0.25">
      <c r="A499" s="1" t="s">
        <v>546</v>
      </c>
      <c r="B499" s="1" t="s">
        <v>838</v>
      </c>
      <c r="C499" s="1" t="s">
        <v>785</v>
      </c>
    </row>
    <row r="500" spans="1:3" x14ac:dyDescent="0.25">
      <c r="A500" s="1" t="s">
        <v>839</v>
      </c>
      <c r="B500" s="1" t="s">
        <v>6</v>
      </c>
      <c r="C500" s="1" t="s">
        <v>785</v>
      </c>
    </row>
    <row r="501" spans="1:3" x14ac:dyDescent="0.25">
      <c r="A501" s="1" t="s">
        <v>840</v>
      </c>
      <c r="B501" s="1" t="s">
        <v>841</v>
      </c>
      <c r="C501" s="1" t="s">
        <v>785</v>
      </c>
    </row>
    <row r="502" spans="1:3" x14ac:dyDescent="0.25">
      <c r="A502" s="1" t="s">
        <v>842</v>
      </c>
      <c r="B502" s="1" t="s">
        <v>843</v>
      </c>
      <c r="C502" s="1" t="s">
        <v>785</v>
      </c>
    </row>
    <row r="503" spans="1:3" x14ac:dyDescent="0.25">
      <c r="A503" s="1" t="s">
        <v>844</v>
      </c>
      <c r="B503" s="1" t="s">
        <v>845</v>
      </c>
      <c r="C503" s="1" t="s">
        <v>785</v>
      </c>
    </row>
    <row r="504" spans="1:3" x14ac:dyDescent="0.25">
      <c r="A504" s="1" t="s">
        <v>846</v>
      </c>
      <c r="B504" s="1" t="s">
        <v>847</v>
      </c>
      <c r="C504" s="1" t="s">
        <v>785</v>
      </c>
    </row>
    <row r="505" spans="1:3" x14ac:dyDescent="0.25">
      <c r="A505" s="1" t="s">
        <v>848</v>
      </c>
      <c r="B505" s="1" t="s">
        <v>849</v>
      </c>
      <c r="C505" s="1" t="s">
        <v>785</v>
      </c>
    </row>
    <row r="506" spans="1:3" x14ac:dyDescent="0.25">
      <c r="A506" s="1" t="s">
        <v>850</v>
      </c>
      <c r="B506" s="1" t="s">
        <v>851</v>
      </c>
      <c r="C506" s="1" t="s">
        <v>785</v>
      </c>
    </row>
    <row r="507" spans="1:3" x14ac:dyDescent="0.25">
      <c r="A507" s="1" t="s">
        <v>852</v>
      </c>
      <c r="B507" s="1" t="s">
        <v>34</v>
      </c>
      <c r="C507" s="1" t="s">
        <v>853</v>
      </c>
    </row>
    <row r="508" spans="1:3" x14ac:dyDescent="0.25">
      <c r="A508" s="1" t="s">
        <v>854</v>
      </c>
      <c r="B508" s="1" t="s">
        <v>855</v>
      </c>
      <c r="C508" s="1" t="s">
        <v>853</v>
      </c>
    </row>
    <row r="509" spans="1:3" x14ac:dyDescent="0.25">
      <c r="A509" s="1" t="s">
        <v>856</v>
      </c>
      <c r="B509" s="1" t="s">
        <v>857</v>
      </c>
      <c r="C509" s="1" t="s">
        <v>853</v>
      </c>
    </row>
    <row r="510" spans="1:3" x14ac:dyDescent="0.25">
      <c r="A510" s="1" t="s">
        <v>858</v>
      </c>
      <c r="B510" s="1" t="s">
        <v>859</v>
      </c>
      <c r="C510" s="1" t="s">
        <v>853</v>
      </c>
    </row>
    <row r="511" spans="1:3" x14ac:dyDescent="0.25">
      <c r="A511" s="1" t="s">
        <v>860</v>
      </c>
      <c r="B511" s="1" t="s">
        <v>861</v>
      </c>
      <c r="C511" s="1" t="s">
        <v>853</v>
      </c>
    </row>
    <row r="512" spans="1:3" x14ac:dyDescent="0.25">
      <c r="A512" s="1" t="s">
        <v>862</v>
      </c>
      <c r="B512" s="1" t="s">
        <v>863</v>
      </c>
      <c r="C512" s="1" t="s">
        <v>853</v>
      </c>
    </row>
    <row r="513" spans="1:3" x14ac:dyDescent="0.25">
      <c r="A513" s="1" t="s">
        <v>864</v>
      </c>
      <c r="B513" s="1" t="s">
        <v>6</v>
      </c>
      <c r="C513" s="1" t="s">
        <v>853</v>
      </c>
    </row>
    <row r="514" spans="1:3" x14ac:dyDescent="0.25">
      <c r="A514" s="1" t="s">
        <v>865</v>
      </c>
      <c r="B514" s="1" t="s">
        <v>866</v>
      </c>
      <c r="C514" s="1" t="s">
        <v>853</v>
      </c>
    </row>
    <row r="515" spans="1:3" x14ac:dyDescent="0.25">
      <c r="A515" s="1" t="s">
        <v>867</v>
      </c>
      <c r="B515" s="1" t="s">
        <v>868</v>
      </c>
      <c r="C515" s="1" t="s">
        <v>853</v>
      </c>
    </row>
    <row r="516" spans="1:3" x14ac:dyDescent="0.25">
      <c r="A516" s="1" t="s">
        <v>869</v>
      </c>
      <c r="B516" s="1" t="s">
        <v>870</v>
      </c>
      <c r="C516" s="1" t="s">
        <v>853</v>
      </c>
    </row>
    <row r="517" spans="1:3" x14ac:dyDescent="0.25">
      <c r="A517" s="1" t="s">
        <v>871</v>
      </c>
      <c r="B517" s="1" t="s">
        <v>872</v>
      </c>
      <c r="C517" s="1" t="s">
        <v>853</v>
      </c>
    </row>
    <row r="518" spans="1:3" x14ac:dyDescent="0.25">
      <c r="A518" s="1" t="s">
        <v>873</v>
      </c>
      <c r="B518" s="1" t="s">
        <v>874</v>
      </c>
      <c r="C518" s="1" t="s">
        <v>853</v>
      </c>
    </row>
    <row r="519" spans="1:3" x14ac:dyDescent="0.25">
      <c r="A519" s="1" t="s">
        <v>875</v>
      </c>
      <c r="B519" s="1" t="s">
        <v>876</v>
      </c>
      <c r="C519" s="1" t="s">
        <v>853</v>
      </c>
    </row>
    <row r="520" spans="1:3" x14ac:dyDescent="0.25">
      <c r="A520" s="1" t="s">
        <v>877</v>
      </c>
      <c r="B520" s="1" t="s">
        <v>878</v>
      </c>
      <c r="C520" s="1" t="s">
        <v>853</v>
      </c>
    </row>
    <row r="521" spans="1:3" x14ac:dyDescent="0.25">
      <c r="A521" s="1" t="s">
        <v>879</v>
      </c>
      <c r="B521" s="1" t="s">
        <v>880</v>
      </c>
      <c r="C521" s="1" t="s">
        <v>853</v>
      </c>
    </row>
    <row r="522" spans="1:3" x14ac:dyDescent="0.25">
      <c r="A522" s="1" t="s">
        <v>881</v>
      </c>
      <c r="B522" s="1" t="s">
        <v>882</v>
      </c>
      <c r="C522" s="1" t="s">
        <v>853</v>
      </c>
    </row>
    <row r="523" spans="1:3" x14ac:dyDescent="0.25">
      <c r="A523" s="1" t="s">
        <v>883</v>
      </c>
      <c r="B523" s="1" t="s">
        <v>884</v>
      </c>
      <c r="C523" s="1" t="s">
        <v>853</v>
      </c>
    </row>
    <row r="524" spans="1:3" x14ac:dyDescent="0.25">
      <c r="A524" s="1" t="s">
        <v>885</v>
      </c>
      <c r="B524" s="1" t="s">
        <v>886</v>
      </c>
      <c r="C524" s="1" t="s">
        <v>853</v>
      </c>
    </row>
    <row r="525" spans="1:3" x14ac:dyDescent="0.25">
      <c r="A525" s="1" t="s">
        <v>887</v>
      </c>
      <c r="B525" s="1" t="s">
        <v>857</v>
      </c>
      <c r="C525" s="1" t="s">
        <v>853</v>
      </c>
    </row>
    <row r="526" spans="1:3" x14ac:dyDescent="0.25">
      <c r="A526" s="1" t="s">
        <v>888</v>
      </c>
      <c r="B526" s="1" t="s">
        <v>857</v>
      </c>
      <c r="C526" s="1" t="s">
        <v>853</v>
      </c>
    </row>
    <row r="527" spans="1:3" x14ac:dyDescent="0.25">
      <c r="A527" s="1" t="s">
        <v>889</v>
      </c>
      <c r="B527" s="1" t="s">
        <v>890</v>
      </c>
      <c r="C527" s="1" t="s">
        <v>853</v>
      </c>
    </row>
    <row r="528" spans="1:3" x14ac:dyDescent="0.25">
      <c r="A528" s="1" t="s">
        <v>891</v>
      </c>
      <c r="B528" s="1" t="s">
        <v>892</v>
      </c>
      <c r="C528" s="1" t="s">
        <v>853</v>
      </c>
    </row>
    <row r="529" spans="1:3" x14ac:dyDescent="0.25">
      <c r="A529" s="1" t="s">
        <v>893</v>
      </c>
      <c r="B529" s="1" t="s">
        <v>894</v>
      </c>
      <c r="C529" s="1" t="s">
        <v>853</v>
      </c>
    </row>
    <row r="530" spans="1:3" x14ac:dyDescent="0.25">
      <c r="A530" s="1" t="s">
        <v>895</v>
      </c>
      <c r="B530" s="1" t="s">
        <v>896</v>
      </c>
      <c r="C530" s="1" t="s">
        <v>853</v>
      </c>
    </row>
    <row r="531" spans="1:3" x14ac:dyDescent="0.25">
      <c r="A531" s="1" t="s">
        <v>897</v>
      </c>
      <c r="B531" s="1" t="s">
        <v>6</v>
      </c>
      <c r="C531" s="1" t="s">
        <v>853</v>
      </c>
    </row>
    <row r="532" spans="1:3" x14ac:dyDescent="0.25">
      <c r="A532" s="1" t="s">
        <v>898</v>
      </c>
      <c r="B532" s="1" t="s">
        <v>899</v>
      </c>
      <c r="C532" s="1" t="s">
        <v>853</v>
      </c>
    </row>
    <row r="533" spans="1:3" x14ac:dyDescent="0.25">
      <c r="A533" s="1" t="s">
        <v>900</v>
      </c>
      <c r="B533" s="1" t="s">
        <v>901</v>
      </c>
      <c r="C533" s="1" t="s">
        <v>853</v>
      </c>
    </row>
    <row r="534" spans="1:3" x14ac:dyDescent="0.25">
      <c r="A534" s="1" t="s">
        <v>902</v>
      </c>
      <c r="B534" s="1" t="s">
        <v>6</v>
      </c>
      <c r="C534" s="1" t="s">
        <v>853</v>
      </c>
    </row>
    <row r="535" spans="1:3" x14ac:dyDescent="0.25">
      <c r="A535" s="1" t="s">
        <v>903</v>
      </c>
      <c r="B535" s="1" t="s">
        <v>6</v>
      </c>
      <c r="C535" s="1" t="s">
        <v>573</v>
      </c>
    </row>
    <row r="536" spans="1:3" x14ac:dyDescent="0.25">
      <c r="A536" s="1" t="s">
        <v>904</v>
      </c>
      <c r="B536" s="1" t="s">
        <v>905</v>
      </c>
      <c r="C536" s="1" t="s">
        <v>853</v>
      </c>
    </row>
    <row r="537" spans="1:3" x14ac:dyDescent="0.25">
      <c r="A537" s="1" t="s">
        <v>906</v>
      </c>
      <c r="B537" s="1" t="s">
        <v>907</v>
      </c>
      <c r="C537" s="1" t="s">
        <v>853</v>
      </c>
    </row>
    <row r="538" spans="1:3" x14ac:dyDescent="0.25">
      <c r="A538" s="1" t="s">
        <v>908</v>
      </c>
      <c r="B538" s="1" t="s">
        <v>909</v>
      </c>
      <c r="C538" s="1" t="s">
        <v>853</v>
      </c>
    </row>
    <row r="539" spans="1:3" x14ac:dyDescent="0.25">
      <c r="A539" s="1" t="s">
        <v>910</v>
      </c>
      <c r="B539" s="1" t="s">
        <v>911</v>
      </c>
      <c r="C539" s="1" t="s">
        <v>853</v>
      </c>
    </row>
    <row r="540" spans="1:3" x14ac:dyDescent="0.25">
      <c r="A540" s="1" t="s">
        <v>912</v>
      </c>
      <c r="B540" s="1" t="s">
        <v>913</v>
      </c>
      <c r="C540" s="1" t="s">
        <v>914</v>
      </c>
    </row>
    <row r="541" spans="1:3" x14ac:dyDescent="0.25">
      <c r="A541" s="1" t="s">
        <v>76</v>
      </c>
      <c r="B541" s="1" t="s">
        <v>915</v>
      </c>
      <c r="C541" s="1" t="s">
        <v>914</v>
      </c>
    </row>
    <row r="542" spans="1:3" x14ac:dyDescent="0.25">
      <c r="A542" s="1" t="s">
        <v>916</v>
      </c>
      <c r="B542" s="1" t="s">
        <v>917</v>
      </c>
      <c r="C542" s="1" t="s">
        <v>914</v>
      </c>
    </row>
    <row r="543" spans="1:3" x14ac:dyDescent="0.25">
      <c r="A543" s="1" t="s">
        <v>641</v>
      </c>
      <c r="B543" s="1" t="s">
        <v>918</v>
      </c>
      <c r="C543" s="1" t="s">
        <v>914</v>
      </c>
    </row>
    <row r="544" spans="1:3" x14ac:dyDescent="0.25">
      <c r="A544" s="1" t="s">
        <v>919</v>
      </c>
      <c r="B544" s="1" t="s">
        <v>244</v>
      </c>
      <c r="C544" s="1" t="s">
        <v>914</v>
      </c>
    </row>
    <row r="545" spans="1:3" x14ac:dyDescent="0.25">
      <c r="A545" s="1" t="s">
        <v>920</v>
      </c>
      <c r="B545" s="1" t="s">
        <v>921</v>
      </c>
      <c r="C545" s="1" t="s">
        <v>914</v>
      </c>
    </row>
    <row r="546" spans="1:3" x14ac:dyDescent="0.25">
      <c r="A546" s="1" t="s">
        <v>922</v>
      </c>
      <c r="B546" s="1" t="s">
        <v>923</v>
      </c>
      <c r="C546" s="1" t="s">
        <v>914</v>
      </c>
    </row>
    <row r="547" spans="1:3" x14ac:dyDescent="0.25">
      <c r="A547" s="1" t="s">
        <v>924</v>
      </c>
      <c r="B547" s="1" t="s">
        <v>925</v>
      </c>
      <c r="C547" s="1" t="s">
        <v>926</v>
      </c>
    </row>
    <row r="548" spans="1:3" x14ac:dyDescent="0.25">
      <c r="A548" s="1" t="s">
        <v>927</v>
      </c>
      <c r="B548" s="1" t="s">
        <v>928</v>
      </c>
      <c r="C548" s="1" t="s">
        <v>926</v>
      </c>
    </row>
    <row r="549" spans="1:3" x14ac:dyDescent="0.25">
      <c r="A549" s="1" t="s">
        <v>929</v>
      </c>
      <c r="B549" s="1" t="s">
        <v>930</v>
      </c>
      <c r="C549" s="1" t="s">
        <v>926</v>
      </c>
    </row>
    <row r="550" spans="1:3" x14ac:dyDescent="0.25">
      <c r="A550" s="1" t="s">
        <v>931</v>
      </c>
      <c r="B550" s="1" t="s">
        <v>932</v>
      </c>
      <c r="C550" s="1" t="s">
        <v>926</v>
      </c>
    </row>
    <row r="551" spans="1:3" x14ac:dyDescent="0.25">
      <c r="A551" s="1" t="s">
        <v>933</v>
      </c>
      <c r="B551" s="1" t="s">
        <v>6</v>
      </c>
      <c r="C551" s="1" t="s">
        <v>926</v>
      </c>
    </row>
    <row r="552" spans="1:3" x14ac:dyDescent="0.25">
      <c r="A552" s="1" t="s">
        <v>934</v>
      </c>
      <c r="B552" s="1" t="s">
        <v>935</v>
      </c>
      <c r="C552" s="1" t="s">
        <v>926</v>
      </c>
    </row>
    <row r="553" spans="1:3" x14ac:dyDescent="0.25">
      <c r="A553" s="1" t="s">
        <v>936</v>
      </c>
      <c r="B553" s="1" t="s">
        <v>937</v>
      </c>
      <c r="C553" s="1" t="s">
        <v>926</v>
      </c>
    </row>
    <row r="554" spans="1:3" x14ac:dyDescent="0.25">
      <c r="A554" s="1" t="s">
        <v>938</v>
      </c>
      <c r="B554" s="1" t="s">
        <v>939</v>
      </c>
      <c r="C554" s="1" t="s">
        <v>926</v>
      </c>
    </row>
    <row r="555" spans="1:3" x14ac:dyDescent="0.25">
      <c r="A555" s="1" t="s">
        <v>940</v>
      </c>
      <c r="B555" s="1" t="s">
        <v>6</v>
      </c>
      <c r="C555" s="1" t="s">
        <v>926</v>
      </c>
    </row>
    <row r="556" spans="1:3" x14ac:dyDescent="0.25">
      <c r="A556" s="1" t="s">
        <v>941</v>
      </c>
      <c r="B556" s="1" t="s">
        <v>6</v>
      </c>
      <c r="C556" s="1" t="s">
        <v>926</v>
      </c>
    </row>
    <row r="557" spans="1:3" x14ac:dyDescent="0.25">
      <c r="A557" s="1" t="s">
        <v>942</v>
      </c>
      <c r="B557" s="1" t="s">
        <v>6</v>
      </c>
      <c r="C557" s="1" t="s">
        <v>926</v>
      </c>
    </row>
    <row r="558" spans="1:3" x14ac:dyDescent="0.25">
      <c r="A558" s="1" t="s">
        <v>943</v>
      </c>
      <c r="B558" s="1" t="s">
        <v>944</v>
      </c>
      <c r="C558" s="1" t="s">
        <v>926</v>
      </c>
    </row>
    <row r="559" spans="1:3" x14ac:dyDescent="0.25">
      <c r="A559" s="1" t="s">
        <v>945</v>
      </c>
      <c r="B559" s="1" t="s">
        <v>946</v>
      </c>
      <c r="C559" s="1" t="s">
        <v>926</v>
      </c>
    </row>
    <row r="560" spans="1:3" x14ac:dyDescent="0.25">
      <c r="A560" s="1" t="s">
        <v>947</v>
      </c>
      <c r="B560" s="1" t="s">
        <v>948</v>
      </c>
      <c r="C560" s="1" t="s">
        <v>926</v>
      </c>
    </row>
    <row r="561" spans="1:3" x14ac:dyDescent="0.25">
      <c r="A561" s="1" t="s">
        <v>949</v>
      </c>
      <c r="B561" s="1" t="s">
        <v>950</v>
      </c>
      <c r="C561" s="1" t="s">
        <v>926</v>
      </c>
    </row>
    <row r="562" spans="1:3" x14ac:dyDescent="0.25">
      <c r="A562" s="1" t="s">
        <v>951</v>
      </c>
      <c r="B562" s="1" t="s">
        <v>952</v>
      </c>
      <c r="C562" s="1" t="s">
        <v>926</v>
      </c>
    </row>
    <row r="563" spans="1:3" x14ac:dyDescent="0.25">
      <c r="A563" s="1" t="s">
        <v>953</v>
      </c>
      <c r="B563" s="1" t="s">
        <v>954</v>
      </c>
      <c r="C563" s="1" t="s">
        <v>926</v>
      </c>
    </row>
    <row r="564" spans="1:3" x14ac:dyDescent="0.25">
      <c r="A564" s="1" t="s">
        <v>955</v>
      </c>
      <c r="B564" s="1" t="s">
        <v>956</v>
      </c>
      <c r="C564" s="1" t="s">
        <v>926</v>
      </c>
    </row>
    <row r="565" spans="1:3" x14ac:dyDescent="0.25">
      <c r="A565" s="1" t="s">
        <v>957</v>
      </c>
      <c r="B565" s="1" t="s">
        <v>958</v>
      </c>
      <c r="C565" s="1" t="s">
        <v>926</v>
      </c>
    </row>
    <row r="566" spans="1:3" x14ac:dyDescent="0.25">
      <c r="A566" s="1" t="s">
        <v>959</v>
      </c>
      <c r="B566" s="1" t="s">
        <v>960</v>
      </c>
      <c r="C566" s="1" t="s">
        <v>926</v>
      </c>
    </row>
    <row r="567" spans="1:3" x14ac:dyDescent="0.25">
      <c r="A567" s="1" t="s">
        <v>961</v>
      </c>
      <c r="B567" s="1" t="s">
        <v>962</v>
      </c>
      <c r="C567" s="1" t="s">
        <v>926</v>
      </c>
    </row>
    <row r="568" spans="1:3" x14ac:dyDescent="0.25">
      <c r="A568" s="1" t="s">
        <v>963</v>
      </c>
      <c r="B568" s="1" t="s">
        <v>964</v>
      </c>
      <c r="C568" s="1" t="s">
        <v>926</v>
      </c>
    </row>
    <row r="569" spans="1:3" x14ac:dyDescent="0.25">
      <c r="A569" s="1" t="s">
        <v>965</v>
      </c>
      <c r="B569" s="1" t="s">
        <v>966</v>
      </c>
      <c r="C569" s="1" t="s">
        <v>926</v>
      </c>
    </row>
    <row r="570" spans="1:3" x14ac:dyDescent="0.25">
      <c r="A570" s="1" t="s">
        <v>967</v>
      </c>
      <c r="B570" s="1" t="s">
        <v>968</v>
      </c>
      <c r="C570" s="1" t="s">
        <v>926</v>
      </c>
    </row>
    <row r="571" spans="1:3" x14ac:dyDescent="0.25">
      <c r="A571" s="1" t="s">
        <v>969</v>
      </c>
      <c r="B571" s="1" t="s">
        <v>970</v>
      </c>
      <c r="C571" s="1" t="s">
        <v>926</v>
      </c>
    </row>
    <row r="572" spans="1:3" x14ac:dyDescent="0.25">
      <c r="A572" s="1" t="s">
        <v>971</v>
      </c>
      <c r="B572" s="1" t="s">
        <v>970</v>
      </c>
      <c r="C572" s="1" t="s">
        <v>926</v>
      </c>
    </row>
    <row r="573" spans="1:3" x14ac:dyDescent="0.25">
      <c r="A573" s="1" t="s">
        <v>972</v>
      </c>
      <c r="B573" s="1" t="s">
        <v>973</v>
      </c>
      <c r="C573" s="1" t="s">
        <v>926</v>
      </c>
    </row>
    <row r="574" spans="1:3" x14ac:dyDescent="0.25">
      <c r="A574" s="1" t="s">
        <v>974</v>
      </c>
      <c r="B574" s="1" t="s">
        <v>975</v>
      </c>
      <c r="C574" s="1" t="s">
        <v>926</v>
      </c>
    </row>
    <row r="575" spans="1:3" x14ac:dyDescent="0.25">
      <c r="A575" s="1" t="s">
        <v>976</v>
      </c>
      <c r="B575" s="1" t="s">
        <v>977</v>
      </c>
      <c r="C575" s="1" t="s">
        <v>978</v>
      </c>
    </row>
    <row r="576" spans="1:3" x14ac:dyDescent="0.25">
      <c r="A576" s="1" t="s">
        <v>979</v>
      </c>
      <c r="B576" s="1" t="s">
        <v>980</v>
      </c>
      <c r="C576" s="1" t="s">
        <v>978</v>
      </c>
    </row>
    <row r="577" spans="1:3" x14ac:dyDescent="0.25">
      <c r="A577" s="1" t="s">
        <v>981</v>
      </c>
      <c r="B577" s="1" t="s">
        <v>982</v>
      </c>
      <c r="C577" s="1" t="s">
        <v>978</v>
      </c>
    </row>
    <row r="578" spans="1:3" x14ac:dyDescent="0.25">
      <c r="A578" s="1" t="s">
        <v>983</v>
      </c>
      <c r="B578" s="1" t="s">
        <v>984</v>
      </c>
      <c r="C578" s="1" t="s">
        <v>978</v>
      </c>
    </row>
    <row r="579" spans="1:3" x14ac:dyDescent="0.25">
      <c r="A579" s="1" t="s">
        <v>755</v>
      </c>
      <c r="B579" s="1" t="s">
        <v>985</v>
      </c>
      <c r="C579" s="1" t="s">
        <v>978</v>
      </c>
    </row>
    <row r="580" spans="1:3" x14ac:dyDescent="0.25">
      <c r="A580" s="1" t="s">
        <v>986</v>
      </c>
      <c r="B580" s="1" t="s">
        <v>6</v>
      </c>
      <c r="C580" s="1" t="s">
        <v>978</v>
      </c>
    </row>
    <row r="581" spans="1:3" x14ac:dyDescent="0.25">
      <c r="A581" s="1" t="s">
        <v>987</v>
      </c>
      <c r="B581" s="1" t="s">
        <v>988</v>
      </c>
      <c r="C581" s="1" t="s">
        <v>978</v>
      </c>
    </row>
    <row r="582" spans="1:3" x14ac:dyDescent="0.25">
      <c r="A582" s="1" t="s">
        <v>989</v>
      </c>
      <c r="B582" s="1" t="s">
        <v>990</v>
      </c>
      <c r="C582" s="1" t="s">
        <v>978</v>
      </c>
    </row>
    <row r="583" spans="1:3" x14ac:dyDescent="0.25">
      <c r="A583" s="1" t="s">
        <v>991</v>
      </c>
      <c r="B583" s="1" t="s">
        <v>6</v>
      </c>
      <c r="C583" s="1" t="s">
        <v>978</v>
      </c>
    </row>
    <row r="584" spans="1:3" x14ac:dyDescent="0.25">
      <c r="A584" s="1" t="s">
        <v>992</v>
      </c>
      <c r="B584" s="1" t="s">
        <v>993</v>
      </c>
      <c r="C584" s="1" t="s">
        <v>978</v>
      </c>
    </row>
    <row r="585" spans="1:3" x14ac:dyDescent="0.25">
      <c r="A585" s="1" t="s">
        <v>994</v>
      </c>
      <c r="B585" s="1" t="s">
        <v>995</v>
      </c>
      <c r="C585" s="1" t="s">
        <v>978</v>
      </c>
    </row>
    <row r="586" spans="1:3" x14ac:dyDescent="0.25">
      <c r="A586" s="1" t="s">
        <v>996</v>
      </c>
      <c r="B586" s="1" t="s">
        <v>997</v>
      </c>
      <c r="C586" s="1" t="s">
        <v>978</v>
      </c>
    </row>
    <row r="587" spans="1:3" x14ac:dyDescent="0.25">
      <c r="A587" s="1" t="s">
        <v>998</v>
      </c>
      <c r="B587" s="1" t="s">
        <v>6</v>
      </c>
      <c r="C587" s="1" t="s">
        <v>978</v>
      </c>
    </row>
    <row r="588" spans="1:3" x14ac:dyDescent="0.25">
      <c r="A588" s="1" t="s">
        <v>999</v>
      </c>
      <c r="B588" s="1" t="s">
        <v>1000</v>
      </c>
      <c r="C588" s="1" t="s">
        <v>978</v>
      </c>
    </row>
    <row r="589" spans="1:3" x14ac:dyDescent="0.25">
      <c r="A589" s="1" t="s">
        <v>1001</v>
      </c>
      <c r="B589" s="1" t="s">
        <v>1002</v>
      </c>
      <c r="C589" s="1" t="s">
        <v>978</v>
      </c>
    </row>
    <row r="590" spans="1:3" x14ac:dyDescent="0.25">
      <c r="A590" s="1" t="s">
        <v>1003</v>
      </c>
      <c r="B590" s="1" t="s">
        <v>1004</v>
      </c>
      <c r="C590" s="1" t="s">
        <v>978</v>
      </c>
    </row>
    <row r="591" spans="1:3" x14ac:dyDescent="0.25">
      <c r="A591" s="1" t="s">
        <v>1005</v>
      </c>
      <c r="B591" s="1" t="s">
        <v>1006</v>
      </c>
      <c r="C591" s="1" t="s">
        <v>978</v>
      </c>
    </row>
    <row r="592" spans="1:3" x14ac:dyDescent="0.25">
      <c r="A592" s="1" t="s">
        <v>76</v>
      </c>
      <c r="B592" s="1" t="s">
        <v>1007</v>
      </c>
      <c r="C592" s="1" t="s">
        <v>978</v>
      </c>
    </row>
    <row r="593" spans="1:3" x14ac:dyDescent="0.25">
      <c r="A593" s="1" t="s">
        <v>1008</v>
      </c>
      <c r="B593" s="1" t="s">
        <v>1009</v>
      </c>
      <c r="C593" s="1" t="s">
        <v>978</v>
      </c>
    </row>
    <row r="594" spans="1:3" x14ac:dyDescent="0.25">
      <c r="A594" s="1" t="s">
        <v>226</v>
      </c>
      <c r="B594" s="1" t="s">
        <v>34</v>
      </c>
      <c r="C594" s="1" t="s">
        <v>1010</v>
      </c>
    </row>
    <row r="595" spans="1:3" x14ac:dyDescent="0.25">
      <c r="A595" s="1" t="s">
        <v>1011</v>
      </c>
      <c r="B595" s="1" t="s">
        <v>1012</v>
      </c>
      <c r="C595" s="1" t="s">
        <v>1010</v>
      </c>
    </row>
    <row r="596" spans="1:3" x14ac:dyDescent="0.25">
      <c r="A596" s="1" t="s">
        <v>788</v>
      </c>
      <c r="B596" s="1" t="s">
        <v>1013</v>
      </c>
      <c r="C596" s="1" t="s">
        <v>1010</v>
      </c>
    </row>
    <row r="597" spans="1:3" x14ac:dyDescent="0.25">
      <c r="A597" s="1" t="s">
        <v>1014</v>
      </c>
      <c r="B597" s="1" t="s">
        <v>1015</v>
      </c>
      <c r="C597" s="1" t="s">
        <v>1010</v>
      </c>
    </row>
    <row r="598" spans="1:3" x14ac:dyDescent="0.25">
      <c r="A598" s="1" t="s">
        <v>1016</v>
      </c>
      <c r="B598" s="1" t="s">
        <v>1017</v>
      </c>
      <c r="C598" s="1" t="s">
        <v>1010</v>
      </c>
    </row>
    <row r="599" spans="1:3" x14ac:dyDescent="0.25">
      <c r="A599" s="1" t="s">
        <v>1018</v>
      </c>
      <c r="B599" s="1" t="s">
        <v>1019</v>
      </c>
      <c r="C599" s="1" t="s">
        <v>1010</v>
      </c>
    </row>
    <row r="600" spans="1:3" x14ac:dyDescent="0.25">
      <c r="A600" s="1" t="s">
        <v>255</v>
      </c>
      <c r="B600" s="1" t="s">
        <v>256</v>
      </c>
      <c r="C600" s="1" t="s">
        <v>1010</v>
      </c>
    </row>
    <row r="601" spans="1:3" x14ac:dyDescent="0.25">
      <c r="A601" s="1" t="s">
        <v>519</v>
      </c>
      <c r="B601" s="1" t="s">
        <v>1020</v>
      </c>
      <c r="C601" s="1" t="s">
        <v>1010</v>
      </c>
    </row>
    <row r="602" spans="1:3" x14ac:dyDescent="0.25">
      <c r="A602" s="1" t="s">
        <v>1021</v>
      </c>
      <c r="B602" s="1" t="s">
        <v>1022</v>
      </c>
      <c r="C602" s="1" t="s">
        <v>1010</v>
      </c>
    </row>
    <row r="603" spans="1:3" x14ac:dyDescent="0.25">
      <c r="A603" s="1" t="s">
        <v>1023</v>
      </c>
      <c r="B603" s="1" t="s">
        <v>1024</v>
      </c>
      <c r="C603" s="1" t="s">
        <v>1010</v>
      </c>
    </row>
    <row r="604" spans="1:3" x14ac:dyDescent="0.25">
      <c r="A604" s="1" t="s">
        <v>1025</v>
      </c>
      <c r="B604" s="1" t="s">
        <v>1026</v>
      </c>
      <c r="C604" s="1" t="s">
        <v>1010</v>
      </c>
    </row>
    <row r="605" spans="1:3" x14ac:dyDescent="0.25">
      <c r="A605" s="1" t="s">
        <v>1027</v>
      </c>
      <c r="B605" s="1" t="s">
        <v>1028</v>
      </c>
      <c r="C605" s="1" t="s">
        <v>1010</v>
      </c>
    </row>
    <row r="606" spans="1:3" x14ac:dyDescent="0.25">
      <c r="A606" s="1" t="s">
        <v>247</v>
      </c>
      <c r="B606" s="1" t="s">
        <v>248</v>
      </c>
      <c r="C606" s="1" t="s">
        <v>1010</v>
      </c>
    </row>
    <row r="607" spans="1:3" x14ac:dyDescent="0.25">
      <c r="A607" s="1" t="s">
        <v>38</v>
      </c>
      <c r="B607" s="1" t="s">
        <v>232</v>
      </c>
      <c r="C607" s="1" t="s">
        <v>1010</v>
      </c>
    </row>
    <row r="608" spans="1:3" x14ac:dyDescent="0.25">
      <c r="A608" s="1" t="s">
        <v>233</v>
      </c>
      <c r="B608" s="1" t="s">
        <v>234</v>
      </c>
      <c r="C608" s="1" t="s">
        <v>1010</v>
      </c>
    </row>
    <row r="609" spans="1:3" x14ac:dyDescent="0.25">
      <c r="A609" s="1" t="s">
        <v>1029</v>
      </c>
      <c r="B609" s="1" t="s">
        <v>1030</v>
      </c>
      <c r="C609" s="1" t="s">
        <v>1010</v>
      </c>
    </row>
    <row r="610" spans="1:3" x14ac:dyDescent="0.25">
      <c r="A610" s="1" t="s">
        <v>249</v>
      </c>
      <c r="B610" s="1" t="s">
        <v>250</v>
      </c>
      <c r="C610" s="1" t="s">
        <v>1010</v>
      </c>
    </row>
    <row r="611" spans="1:3" x14ac:dyDescent="0.25">
      <c r="A611" s="1" t="s">
        <v>245</v>
      </c>
      <c r="B611" s="1" t="s">
        <v>246</v>
      </c>
      <c r="C611" s="1" t="s">
        <v>1010</v>
      </c>
    </row>
    <row r="612" spans="1:3" x14ac:dyDescent="0.25">
      <c r="A612" s="1" t="s">
        <v>239</v>
      </c>
      <c r="B612" s="1" t="s">
        <v>240</v>
      </c>
      <c r="C612" s="1" t="s">
        <v>1010</v>
      </c>
    </row>
    <row r="613" spans="1:3" x14ac:dyDescent="0.25">
      <c r="A613" s="1" t="s">
        <v>230</v>
      </c>
      <c r="B613" s="1" t="s">
        <v>231</v>
      </c>
      <c r="C613" s="1" t="s">
        <v>1010</v>
      </c>
    </row>
    <row r="614" spans="1:3" x14ac:dyDescent="0.25">
      <c r="A614" s="1" t="s">
        <v>228</v>
      </c>
      <c r="B614" s="1" t="s">
        <v>229</v>
      </c>
      <c r="C614" s="1" t="s">
        <v>1010</v>
      </c>
    </row>
    <row r="615" spans="1:3" x14ac:dyDescent="0.25">
      <c r="A615" s="1" t="s">
        <v>261</v>
      </c>
      <c r="B615" s="1" t="s">
        <v>6</v>
      </c>
      <c r="C615" s="1" t="s">
        <v>1010</v>
      </c>
    </row>
    <row r="616" spans="1:3" x14ac:dyDescent="0.25">
      <c r="A616" s="1" t="s">
        <v>1031</v>
      </c>
      <c r="B616" s="1" t="s">
        <v>34</v>
      </c>
      <c r="C616" s="1" t="s">
        <v>1010</v>
      </c>
    </row>
    <row r="617" spans="1:3" x14ac:dyDescent="0.25">
      <c r="A617" s="1" t="s">
        <v>1032</v>
      </c>
      <c r="B617" s="1" t="s">
        <v>1033</v>
      </c>
      <c r="C617" s="1" t="s">
        <v>1010</v>
      </c>
    </row>
    <row r="618" spans="1:3" x14ac:dyDescent="0.25">
      <c r="A618" s="1" t="s">
        <v>1034</v>
      </c>
      <c r="B618" s="1" t="s">
        <v>1035</v>
      </c>
      <c r="C618" s="1" t="s">
        <v>1010</v>
      </c>
    </row>
    <row r="619" spans="1:3" x14ac:dyDescent="0.25">
      <c r="A619" s="1" t="s">
        <v>262</v>
      </c>
      <c r="B619" s="1" t="s">
        <v>263</v>
      </c>
      <c r="C619" s="1" t="s">
        <v>1010</v>
      </c>
    </row>
    <row r="620" spans="1:3" x14ac:dyDescent="0.25">
      <c r="A620" s="1" t="s">
        <v>1036</v>
      </c>
      <c r="B620" s="1" t="s">
        <v>6</v>
      </c>
      <c r="C620" s="1" t="s">
        <v>1010</v>
      </c>
    </row>
    <row r="621" spans="1:3" x14ac:dyDescent="0.25">
      <c r="A621" s="1" t="s">
        <v>1037</v>
      </c>
      <c r="B621" s="1" t="s">
        <v>1038</v>
      </c>
      <c r="C621" s="1" t="s">
        <v>1010</v>
      </c>
    </row>
    <row r="622" spans="1:3" x14ac:dyDescent="0.25">
      <c r="A622" s="1" t="s">
        <v>1039</v>
      </c>
      <c r="B622" s="1" t="s">
        <v>1040</v>
      </c>
      <c r="C622" s="1" t="s">
        <v>1010</v>
      </c>
    </row>
    <row r="623" spans="1:3" x14ac:dyDescent="0.25">
      <c r="A623" s="1" t="s">
        <v>38</v>
      </c>
      <c r="B623" s="1" t="s">
        <v>227</v>
      </c>
      <c r="C623" s="1" t="s">
        <v>1010</v>
      </c>
    </row>
    <row r="624" spans="1:3" x14ac:dyDescent="0.25">
      <c r="A624" s="1" t="s">
        <v>224</v>
      </c>
      <c r="B624" s="1" t="s">
        <v>225</v>
      </c>
      <c r="C624" s="1" t="s">
        <v>1010</v>
      </c>
    </row>
    <row r="625" spans="1:3" x14ac:dyDescent="0.25">
      <c r="A625" s="1" t="s">
        <v>237</v>
      </c>
      <c r="B625" s="1" t="s">
        <v>238</v>
      </c>
      <c r="C625" s="1" t="s">
        <v>1010</v>
      </c>
    </row>
    <row r="626" spans="1:3" x14ac:dyDescent="0.25">
      <c r="A626" s="1" t="s">
        <v>1041</v>
      </c>
      <c r="B626" s="1" t="s">
        <v>1042</v>
      </c>
      <c r="C626" s="1" t="s">
        <v>1010</v>
      </c>
    </row>
    <row r="627" spans="1:3" x14ac:dyDescent="0.25">
      <c r="A627" s="1" t="s">
        <v>1043</v>
      </c>
      <c r="B627" s="1" t="s">
        <v>1044</v>
      </c>
      <c r="C627" s="1" t="s">
        <v>1010</v>
      </c>
    </row>
    <row r="628" spans="1:3" x14ac:dyDescent="0.25">
      <c r="A628" s="1" t="s">
        <v>1045</v>
      </c>
      <c r="B628" s="1" t="s">
        <v>6</v>
      </c>
      <c r="C628" s="1" t="s">
        <v>1010</v>
      </c>
    </row>
    <row r="629" spans="1:3" x14ac:dyDescent="0.25">
      <c r="A629" s="1" t="s">
        <v>1046</v>
      </c>
      <c r="B629" s="1" t="s">
        <v>1047</v>
      </c>
      <c r="C629" s="1" t="s">
        <v>1010</v>
      </c>
    </row>
    <row r="630" spans="1:3" x14ac:dyDescent="0.25">
      <c r="A630" s="1" t="s">
        <v>1048</v>
      </c>
      <c r="B630" s="1" t="s">
        <v>1049</v>
      </c>
      <c r="C630" s="1" t="s">
        <v>573</v>
      </c>
    </row>
    <row r="631" spans="1:3" x14ac:dyDescent="0.25">
      <c r="A631" s="1" t="s">
        <v>1050</v>
      </c>
      <c r="B631" s="1" t="s">
        <v>1051</v>
      </c>
      <c r="C631" s="1" t="s">
        <v>573</v>
      </c>
    </row>
    <row r="632" spans="1:3" x14ac:dyDescent="0.25">
      <c r="A632" s="1" t="s">
        <v>1052</v>
      </c>
      <c r="B632" s="1" t="s">
        <v>1053</v>
      </c>
      <c r="C632" s="1" t="s">
        <v>573</v>
      </c>
    </row>
    <row r="633" spans="1:3" x14ac:dyDescent="0.25">
      <c r="A633" s="1" t="s">
        <v>1054</v>
      </c>
      <c r="B633" s="1" t="s">
        <v>1055</v>
      </c>
      <c r="C633" s="1" t="s">
        <v>573</v>
      </c>
    </row>
    <row r="634" spans="1:3" x14ac:dyDescent="0.25">
      <c r="A634" s="1" t="s">
        <v>1056</v>
      </c>
      <c r="B634" s="1" t="s">
        <v>6</v>
      </c>
      <c r="C634" s="1" t="s">
        <v>573</v>
      </c>
    </row>
    <row r="635" spans="1:3" x14ac:dyDescent="0.25">
      <c r="A635" s="1" t="s">
        <v>1057</v>
      </c>
      <c r="B635" s="1" t="s">
        <v>1058</v>
      </c>
      <c r="C635" s="1" t="s">
        <v>573</v>
      </c>
    </row>
    <row r="636" spans="1:3" x14ac:dyDescent="0.25">
      <c r="A636" s="1" t="s">
        <v>1059</v>
      </c>
      <c r="B636" s="1" t="s">
        <v>1060</v>
      </c>
      <c r="C636" s="1" t="s">
        <v>573</v>
      </c>
    </row>
    <row r="637" spans="1:3" x14ac:dyDescent="0.25">
      <c r="A637" s="1" t="s">
        <v>270</v>
      </c>
      <c r="B637" s="1" t="s">
        <v>1061</v>
      </c>
      <c r="C637" s="1" t="s">
        <v>573</v>
      </c>
    </row>
    <row r="638" spans="1:3" x14ac:dyDescent="0.25">
      <c r="A638" s="1" t="s">
        <v>1062</v>
      </c>
      <c r="B638" s="1" t="s">
        <v>1063</v>
      </c>
      <c r="C638" s="1" t="s">
        <v>573</v>
      </c>
    </row>
    <row r="639" spans="1:3" x14ac:dyDescent="0.25">
      <c r="A639" s="1" t="s">
        <v>1064</v>
      </c>
      <c r="B639" s="1" t="s">
        <v>6</v>
      </c>
      <c r="C639" s="1" t="s">
        <v>573</v>
      </c>
    </row>
    <row r="640" spans="1:3" x14ac:dyDescent="0.25">
      <c r="A640" s="1" t="s">
        <v>1065</v>
      </c>
      <c r="B640" s="1" t="s">
        <v>1066</v>
      </c>
      <c r="C640" s="1" t="s">
        <v>573</v>
      </c>
    </row>
    <row r="641" spans="1:3" x14ac:dyDescent="0.25">
      <c r="A641" s="1" t="s">
        <v>1067</v>
      </c>
      <c r="B641" s="1" t="s">
        <v>1068</v>
      </c>
      <c r="C641" s="1" t="s">
        <v>573</v>
      </c>
    </row>
    <row r="642" spans="1:3" x14ac:dyDescent="0.25">
      <c r="A642" s="1" t="s">
        <v>1069</v>
      </c>
      <c r="B642" s="1" t="s">
        <v>1070</v>
      </c>
      <c r="C642" s="1" t="s">
        <v>573</v>
      </c>
    </row>
    <row r="643" spans="1:3" x14ac:dyDescent="0.25">
      <c r="A643" s="1" t="s">
        <v>494</v>
      </c>
      <c r="B643" s="1" t="s">
        <v>1071</v>
      </c>
      <c r="C643" s="1" t="s">
        <v>573</v>
      </c>
    </row>
    <row r="644" spans="1:3" x14ac:dyDescent="0.25">
      <c r="A644" s="1" t="s">
        <v>1072</v>
      </c>
      <c r="B644" s="1" t="s">
        <v>1073</v>
      </c>
      <c r="C644" s="1" t="s">
        <v>573</v>
      </c>
    </row>
    <row r="645" spans="1:3" x14ac:dyDescent="0.25">
      <c r="A645" s="1" t="s">
        <v>76</v>
      </c>
      <c r="B645" s="1" t="s">
        <v>1074</v>
      </c>
      <c r="C645" s="1" t="s">
        <v>573</v>
      </c>
    </row>
    <row r="646" spans="1:3" x14ac:dyDescent="0.25">
      <c r="A646" s="1" t="s">
        <v>1075</v>
      </c>
      <c r="B646" s="1" t="s">
        <v>6</v>
      </c>
      <c r="C646" s="1" t="s">
        <v>573</v>
      </c>
    </row>
    <row r="647" spans="1:3" x14ac:dyDescent="0.25">
      <c r="A647" s="1" t="s">
        <v>1076</v>
      </c>
      <c r="B647" s="1" t="s">
        <v>6</v>
      </c>
      <c r="C647" s="1" t="s">
        <v>573</v>
      </c>
    </row>
    <row r="648" spans="1:3" x14ac:dyDescent="0.25">
      <c r="A648" s="1" t="s">
        <v>1077</v>
      </c>
      <c r="B648" s="1" t="s">
        <v>1078</v>
      </c>
      <c r="C648" s="1" t="s">
        <v>573</v>
      </c>
    </row>
    <row r="649" spans="1:3" x14ac:dyDescent="0.25">
      <c r="A649" s="1" t="s">
        <v>530</v>
      </c>
      <c r="B649" s="1" t="s">
        <v>1079</v>
      </c>
      <c r="C649" s="1" t="s">
        <v>573</v>
      </c>
    </row>
    <row r="650" spans="1:3" x14ac:dyDescent="0.25">
      <c r="A650" s="1" t="s">
        <v>1080</v>
      </c>
      <c r="B650" s="1" t="s">
        <v>1081</v>
      </c>
      <c r="C650" s="1" t="s">
        <v>573</v>
      </c>
    </row>
    <row r="651" spans="1:3" x14ac:dyDescent="0.25">
      <c r="A651" s="1" t="s">
        <v>1082</v>
      </c>
      <c r="B651" s="1" t="s">
        <v>1083</v>
      </c>
      <c r="C651" s="1" t="s">
        <v>573</v>
      </c>
    </row>
    <row r="652" spans="1:3" x14ac:dyDescent="0.25">
      <c r="A652" s="1" t="s">
        <v>1084</v>
      </c>
      <c r="B652" s="1" t="s">
        <v>244</v>
      </c>
      <c r="C652" s="1" t="s">
        <v>573</v>
      </c>
    </row>
    <row r="653" spans="1:3" x14ac:dyDescent="0.25">
      <c r="A653" s="1" t="s">
        <v>1085</v>
      </c>
      <c r="B653" s="1" t="s">
        <v>6</v>
      </c>
      <c r="C653" s="1" t="s">
        <v>573</v>
      </c>
    </row>
    <row r="654" spans="1:3" x14ac:dyDescent="0.25">
      <c r="A654" s="1" t="s">
        <v>582</v>
      </c>
      <c r="B654" s="1" t="s">
        <v>583</v>
      </c>
      <c r="C654" s="1" t="s">
        <v>573</v>
      </c>
    </row>
    <row r="655" spans="1:3" x14ac:dyDescent="0.25">
      <c r="A655" s="1" t="s">
        <v>1086</v>
      </c>
      <c r="B655" s="1" t="s">
        <v>1087</v>
      </c>
      <c r="C655" s="1" t="s">
        <v>573</v>
      </c>
    </row>
    <row r="656" spans="1:3" x14ac:dyDescent="0.25">
      <c r="A656" s="1" t="s">
        <v>1088</v>
      </c>
      <c r="B656" s="1" t="s">
        <v>1060</v>
      </c>
      <c r="C656" s="1" t="s">
        <v>573</v>
      </c>
    </row>
    <row r="657" spans="1:3" x14ac:dyDescent="0.25">
      <c r="A657" s="1" t="s">
        <v>1089</v>
      </c>
      <c r="B657" s="1" t="s">
        <v>6</v>
      </c>
      <c r="C657" s="1" t="s">
        <v>573</v>
      </c>
    </row>
    <row r="658" spans="1:3" x14ac:dyDescent="0.25">
      <c r="A658" s="1" t="s">
        <v>1090</v>
      </c>
      <c r="B658" s="1" t="s">
        <v>6</v>
      </c>
      <c r="C658" s="1" t="s">
        <v>573</v>
      </c>
    </row>
    <row r="659" spans="1:3" x14ac:dyDescent="0.25">
      <c r="A659" s="1" t="s">
        <v>573</v>
      </c>
      <c r="B659" s="1" t="s">
        <v>34</v>
      </c>
      <c r="C659" s="1" t="s">
        <v>573</v>
      </c>
    </row>
    <row r="660" spans="1:3" x14ac:dyDescent="0.25">
      <c r="A660" s="1" t="s">
        <v>1091</v>
      </c>
      <c r="B660" s="1" t="s">
        <v>1092</v>
      </c>
      <c r="C660" s="1" t="s">
        <v>573</v>
      </c>
    </row>
    <row r="661" spans="1:3" x14ac:dyDescent="0.25">
      <c r="A661" s="1" t="s">
        <v>270</v>
      </c>
      <c r="B661" s="1" t="s">
        <v>581</v>
      </c>
      <c r="C661" s="1" t="s">
        <v>573</v>
      </c>
    </row>
    <row r="662" spans="1:3" x14ac:dyDescent="0.25">
      <c r="A662" s="1" t="s">
        <v>579</v>
      </c>
      <c r="B662" s="1" t="s">
        <v>580</v>
      </c>
      <c r="C662" s="1" t="s">
        <v>573</v>
      </c>
    </row>
    <row r="663" spans="1:3" x14ac:dyDescent="0.25">
      <c r="A663" s="1" t="s">
        <v>1093</v>
      </c>
      <c r="B663" s="1" t="s">
        <v>1094</v>
      </c>
      <c r="C663" s="1" t="s">
        <v>573</v>
      </c>
    </row>
    <row r="664" spans="1:3" x14ac:dyDescent="0.25">
      <c r="A664" s="1" t="s">
        <v>1095</v>
      </c>
      <c r="B664" s="1" t="s">
        <v>1096</v>
      </c>
      <c r="C664" s="1" t="s">
        <v>573</v>
      </c>
    </row>
    <row r="665" spans="1:3" x14ac:dyDescent="0.25">
      <c r="A665" s="1" t="s">
        <v>1097</v>
      </c>
      <c r="B665" s="1" t="s">
        <v>1098</v>
      </c>
      <c r="C665" s="1" t="s">
        <v>573</v>
      </c>
    </row>
    <row r="666" spans="1:3" x14ac:dyDescent="0.25">
      <c r="A666" s="1" t="s">
        <v>1099</v>
      </c>
      <c r="B666" s="1" t="s">
        <v>1100</v>
      </c>
      <c r="C666" s="1" t="s">
        <v>573</v>
      </c>
    </row>
    <row r="667" spans="1:3" x14ac:dyDescent="0.25">
      <c r="A667" s="1" t="s">
        <v>1101</v>
      </c>
      <c r="B667" s="1" t="s">
        <v>34</v>
      </c>
      <c r="C667" s="1" t="s">
        <v>573</v>
      </c>
    </row>
    <row r="668" spans="1:3" x14ac:dyDescent="0.25">
      <c r="A668" s="1" t="s">
        <v>1102</v>
      </c>
      <c r="B668" s="1" t="s">
        <v>1103</v>
      </c>
      <c r="C668" s="1" t="s">
        <v>573</v>
      </c>
    </row>
    <row r="669" spans="1:3" x14ac:dyDescent="0.25">
      <c r="A669" s="1" t="s">
        <v>1104</v>
      </c>
      <c r="B669" s="1" t="s">
        <v>1105</v>
      </c>
      <c r="C669" s="1" t="s">
        <v>573</v>
      </c>
    </row>
    <row r="670" spans="1:3" x14ac:dyDescent="0.25">
      <c r="A670" s="1" t="s">
        <v>576</v>
      </c>
      <c r="B670" s="1" t="s">
        <v>6</v>
      </c>
      <c r="C670" s="1" t="s">
        <v>573</v>
      </c>
    </row>
    <row r="671" spans="1:3" x14ac:dyDescent="0.25">
      <c r="A671" s="1" t="s">
        <v>1106</v>
      </c>
      <c r="B671" s="1" t="s">
        <v>1107</v>
      </c>
      <c r="C671" s="1" t="s">
        <v>573</v>
      </c>
    </row>
    <row r="672" spans="1:3" x14ac:dyDescent="0.25">
      <c r="A672" s="1" t="s">
        <v>1108</v>
      </c>
      <c r="B672" s="1" t="s">
        <v>1109</v>
      </c>
      <c r="C672" s="1" t="s">
        <v>573</v>
      </c>
    </row>
    <row r="673" spans="1:3" x14ac:dyDescent="0.25">
      <c r="A673" s="1" t="s">
        <v>1110</v>
      </c>
      <c r="B673" s="1" t="s">
        <v>638</v>
      </c>
      <c r="C673" s="1" t="s">
        <v>573</v>
      </c>
    </row>
    <row r="674" spans="1:3" x14ac:dyDescent="0.25">
      <c r="A674" s="1" t="s">
        <v>1111</v>
      </c>
      <c r="B674" s="1" t="s">
        <v>1112</v>
      </c>
      <c r="C674" s="1" t="s">
        <v>573</v>
      </c>
    </row>
    <row r="675" spans="1:3" x14ac:dyDescent="0.25">
      <c r="A675" s="1" t="s">
        <v>1113</v>
      </c>
      <c r="B675" s="1" t="s">
        <v>1114</v>
      </c>
      <c r="C675" s="1" t="s">
        <v>573</v>
      </c>
    </row>
    <row r="676" spans="1:3" x14ac:dyDescent="0.25">
      <c r="A676" s="1" t="s">
        <v>1115</v>
      </c>
      <c r="B676" s="1" t="s">
        <v>1116</v>
      </c>
      <c r="C676" s="1" t="s">
        <v>573</v>
      </c>
    </row>
    <row r="677" spans="1:3" x14ac:dyDescent="0.25">
      <c r="A677" s="1" t="s">
        <v>1117</v>
      </c>
      <c r="B677" s="1" t="s">
        <v>1118</v>
      </c>
      <c r="C677" s="1" t="s">
        <v>1119</v>
      </c>
    </row>
    <row r="678" spans="1:3" x14ac:dyDescent="0.25">
      <c r="A678" s="1" t="s">
        <v>1120</v>
      </c>
      <c r="B678" s="1" t="s">
        <v>1121</v>
      </c>
      <c r="C678" s="1" t="s">
        <v>1119</v>
      </c>
    </row>
    <row r="679" spans="1:3" x14ac:dyDescent="0.25">
      <c r="A679" s="1" t="s">
        <v>1122</v>
      </c>
      <c r="B679" s="1" t="s">
        <v>1123</v>
      </c>
      <c r="C679" s="1" t="s">
        <v>1119</v>
      </c>
    </row>
    <row r="680" spans="1:3" x14ac:dyDescent="0.25">
      <c r="A680" s="1" t="s">
        <v>1124</v>
      </c>
      <c r="B680" s="1" t="s">
        <v>1125</v>
      </c>
      <c r="C680" s="1" t="s">
        <v>1119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E013-F3D6-45C7-BE5E-984A4312A9C8}">
  <dimension ref="A1:U22"/>
  <sheetViews>
    <sheetView workbookViewId="0">
      <selection activeCell="J26" sqref="J26"/>
    </sheetView>
  </sheetViews>
  <sheetFormatPr defaultRowHeight="15" x14ac:dyDescent="0.25"/>
  <cols>
    <col min="1" max="1" width="20.7109375" bestFit="1" customWidth="1"/>
    <col min="2" max="2" width="10.28515625" bestFit="1" customWidth="1"/>
    <col min="3" max="3" width="11.85546875" bestFit="1" customWidth="1"/>
    <col min="4" max="4" width="12.42578125" bestFit="1" customWidth="1"/>
    <col min="5" max="5" width="7" bestFit="1" customWidth="1"/>
    <col min="6" max="6" width="6.140625" bestFit="1" customWidth="1"/>
    <col min="7" max="7" width="9.28515625" bestFit="1" customWidth="1"/>
    <col min="8" max="8" width="17.28515625" bestFit="1" customWidth="1"/>
    <col min="9" max="9" width="16.42578125" bestFit="1" customWidth="1"/>
    <col min="10" max="10" width="16.140625" bestFit="1" customWidth="1"/>
    <col min="11" max="11" width="14.5703125" bestFit="1" customWidth="1"/>
    <col min="12" max="12" width="7" bestFit="1" customWidth="1"/>
    <col min="13" max="13" width="7.140625" bestFit="1" customWidth="1"/>
    <col min="14" max="14" width="9" bestFit="1" customWidth="1"/>
    <col min="15" max="15" width="11" bestFit="1" customWidth="1"/>
    <col min="16" max="16" width="18.85546875" bestFit="1" customWidth="1"/>
    <col min="17" max="17" width="8.42578125" bestFit="1" customWidth="1"/>
    <col min="18" max="18" width="7.5703125" bestFit="1" customWidth="1"/>
    <col min="19" max="19" width="10.42578125" bestFit="1" customWidth="1"/>
    <col min="20" max="20" width="9" bestFit="1" customWidth="1"/>
    <col min="21" max="21" width="12.140625" bestFit="1" customWidth="1"/>
  </cols>
  <sheetData>
    <row r="1" spans="1:21" x14ac:dyDescent="0.25">
      <c r="A1" t="s">
        <v>2</v>
      </c>
      <c r="B1" t="s">
        <v>1126</v>
      </c>
      <c r="C1" t="s">
        <v>1127</v>
      </c>
      <c r="D1" t="s">
        <v>1128</v>
      </c>
      <c r="E1" t="s">
        <v>1129</v>
      </c>
      <c r="F1" t="s">
        <v>1130</v>
      </c>
      <c r="G1" t="s">
        <v>1131</v>
      </c>
      <c r="H1" t="s">
        <v>1132</v>
      </c>
      <c r="I1" t="s">
        <v>1133</v>
      </c>
      <c r="J1" t="s">
        <v>1134</v>
      </c>
      <c r="K1" t="s">
        <v>1135</v>
      </c>
      <c r="L1" t="s">
        <v>1136</v>
      </c>
      <c r="M1" t="s">
        <v>1137</v>
      </c>
      <c r="N1" t="s">
        <v>1138</v>
      </c>
      <c r="O1" t="s">
        <v>1139</v>
      </c>
      <c r="P1" t="s">
        <v>1140</v>
      </c>
      <c r="Q1" t="s">
        <v>1141</v>
      </c>
      <c r="R1" t="s">
        <v>1142</v>
      </c>
      <c r="S1" t="s">
        <v>1143</v>
      </c>
      <c r="T1" t="s">
        <v>1144</v>
      </c>
      <c r="U1" t="s">
        <v>1145</v>
      </c>
    </row>
    <row r="2" spans="1:21" x14ac:dyDescent="0.25">
      <c r="A2" s="1" t="s">
        <v>5</v>
      </c>
      <c r="B2">
        <v>18.913</v>
      </c>
      <c r="C2">
        <v>72.8172</v>
      </c>
      <c r="D2">
        <v>36</v>
      </c>
      <c r="E2">
        <v>36</v>
      </c>
      <c r="F2">
        <v>36</v>
      </c>
      <c r="G2">
        <v>36</v>
      </c>
      <c r="H2">
        <v>36</v>
      </c>
      <c r="I2">
        <v>36</v>
      </c>
      <c r="J2">
        <v>36</v>
      </c>
      <c r="K2">
        <v>36</v>
      </c>
      <c r="L2">
        <v>36</v>
      </c>
      <c r="M2">
        <v>36</v>
      </c>
      <c r="N2">
        <v>36</v>
      </c>
      <c r="O2">
        <v>36</v>
      </c>
      <c r="P2">
        <v>36</v>
      </c>
      <c r="Q2">
        <v>36</v>
      </c>
      <c r="R2">
        <v>36</v>
      </c>
      <c r="S2">
        <v>36</v>
      </c>
      <c r="T2">
        <v>36</v>
      </c>
      <c r="U2">
        <v>36</v>
      </c>
    </row>
    <row r="3" spans="1:21" x14ac:dyDescent="0.25">
      <c r="A3" s="1" t="s">
        <v>68</v>
      </c>
      <c r="B3">
        <v>18.932200000000002</v>
      </c>
      <c r="C3">
        <v>72.829300000000003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</row>
    <row r="4" spans="1:21" x14ac:dyDescent="0.25">
      <c r="A4" s="1" t="s">
        <v>93</v>
      </c>
      <c r="B4">
        <v>18.934999999999999</v>
      </c>
      <c r="C4">
        <v>72.826800000000006</v>
      </c>
      <c r="D4">
        <v>50</v>
      </c>
      <c r="E4">
        <v>50</v>
      </c>
      <c r="F4">
        <v>50</v>
      </c>
      <c r="G4">
        <v>50</v>
      </c>
      <c r="H4">
        <v>50</v>
      </c>
      <c r="I4">
        <v>50</v>
      </c>
      <c r="J4">
        <v>50</v>
      </c>
      <c r="K4">
        <v>50</v>
      </c>
      <c r="L4">
        <v>50</v>
      </c>
      <c r="M4">
        <v>50</v>
      </c>
      <c r="N4">
        <v>50</v>
      </c>
      <c r="O4">
        <v>50</v>
      </c>
      <c r="P4">
        <v>50</v>
      </c>
      <c r="Q4">
        <v>50</v>
      </c>
      <c r="R4">
        <v>50</v>
      </c>
      <c r="S4">
        <v>50</v>
      </c>
      <c r="T4">
        <v>50</v>
      </c>
      <c r="U4">
        <v>50</v>
      </c>
    </row>
    <row r="5" spans="1:21" x14ac:dyDescent="0.25">
      <c r="A5" s="1" t="s">
        <v>208</v>
      </c>
      <c r="B5">
        <v>18.946000000000002</v>
      </c>
      <c r="C5">
        <v>72.822999999999993</v>
      </c>
      <c r="D5">
        <v>9</v>
      </c>
      <c r="E5">
        <v>9</v>
      </c>
      <c r="F5">
        <v>9</v>
      </c>
      <c r="G5">
        <v>9</v>
      </c>
      <c r="H5">
        <v>9</v>
      </c>
      <c r="I5">
        <v>9</v>
      </c>
      <c r="J5">
        <v>9</v>
      </c>
      <c r="K5">
        <v>9</v>
      </c>
      <c r="L5">
        <v>9</v>
      </c>
      <c r="M5">
        <v>9</v>
      </c>
      <c r="N5">
        <v>9</v>
      </c>
      <c r="O5">
        <v>9</v>
      </c>
      <c r="P5">
        <v>9</v>
      </c>
      <c r="Q5">
        <v>9</v>
      </c>
      <c r="R5">
        <v>9</v>
      </c>
      <c r="S5">
        <v>9</v>
      </c>
      <c r="T5">
        <v>9</v>
      </c>
      <c r="U5">
        <v>9</v>
      </c>
    </row>
    <row r="6" spans="1:21" x14ac:dyDescent="0.25">
      <c r="A6" s="1" t="s">
        <v>226</v>
      </c>
      <c r="B6">
        <v>19.016100000000002</v>
      </c>
      <c r="C6">
        <v>72.848699999999994</v>
      </c>
      <c r="D6">
        <v>22</v>
      </c>
      <c r="E6">
        <v>22</v>
      </c>
      <c r="F6">
        <v>22</v>
      </c>
      <c r="G6">
        <v>22</v>
      </c>
      <c r="H6">
        <v>22</v>
      </c>
      <c r="I6">
        <v>22</v>
      </c>
      <c r="J6">
        <v>22</v>
      </c>
      <c r="K6">
        <v>22</v>
      </c>
      <c r="L6">
        <v>22</v>
      </c>
      <c r="M6">
        <v>22</v>
      </c>
      <c r="N6">
        <v>22</v>
      </c>
      <c r="O6">
        <v>22</v>
      </c>
      <c r="P6">
        <v>22</v>
      </c>
      <c r="Q6">
        <v>22</v>
      </c>
      <c r="R6">
        <v>22</v>
      </c>
      <c r="S6">
        <v>22</v>
      </c>
      <c r="T6">
        <v>22</v>
      </c>
      <c r="U6">
        <v>22</v>
      </c>
    </row>
    <row r="7" spans="1:21" x14ac:dyDescent="0.25">
      <c r="A7" s="1" t="s">
        <v>265</v>
      </c>
      <c r="B7">
        <v>18.9939</v>
      </c>
      <c r="C7">
        <v>72.825500000000005</v>
      </c>
      <c r="D7">
        <v>50</v>
      </c>
      <c r="E7">
        <v>50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  <c r="L7">
        <v>50</v>
      </c>
      <c r="M7">
        <v>50</v>
      </c>
      <c r="N7">
        <v>50</v>
      </c>
      <c r="O7">
        <v>50</v>
      </c>
      <c r="P7">
        <v>50</v>
      </c>
      <c r="Q7">
        <v>50</v>
      </c>
      <c r="R7">
        <v>50</v>
      </c>
      <c r="S7">
        <v>50</v>
      </c>
      <c r="T7">
        <v>50</v>
      </c>
      <c r="U7">
        <v>50</v>
      </c>
    </row>
    <row r="8" spans="1:21" x14ac:dyDescent="0.25">
      <c r="A8" s="1" t="s">
        <v>359</v>
      </c>
      <c r="B8">
        <v>19.0596</v>
      </c>
      <c r="C8">
        <v>72.829499999999996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  <c r="L8">
        <v>50</v>
      </c>
      <c r="M8">
        <v>50</v>
      </c>
      <c r="N8">
        <v>50</v>
      </c>
      <c r="O8">
        <v>50</v>
      </c>
      <c r="P8">
        <v>50</v>
      </c>
      <c r="Q8">
        <v>50</v>
      </c>
      <c r="R8">
        <v>50</v>
      </c>
      <c r="S8">
        <v>50</v>
      </c>
      <c r="T8">
        <v>50</v>
      </c>
      <c r="U8">
        <v>50</v>
      </c>
    </row>
    <row r="9" spans="1:21" x14ac:dyDescent="0.25">
      <c r="A9" s="1" t="s">
        <v>451</v>
      </c>
      <c r="B9">
        <v>19.063600000000001</v>
      </c>
      <c r="C9">
        <v>72.868099999999998</v>
      </c>
      <c r="D9">
        <v>29</v>
      </c>
      <c r="E9">
        <v>29</v>
      </c>
      <c r="F9">
        <v>29</v>
      </c>
      <c r="G9">
        <v>29</v>
      </c>
      <c r="H9">
        <v>29</v>
      </c>
      <c r="I9">
        <v>29</v>
      </c>
      <c r="J9">
        <v>29</v>
      </c>
      <c r="K9">
        <v>29</v>
      </c>
      <c r="L9">
        <v>29</v>
      </c>
      <c r="M9">
        <v>29</v>
      </c>
      <c r="N9">
        <v>29</v>
      </c>
      <c r="O9">
        <v>29</v>
      </c>
      <c r="P9">
        <v>29</v>
      </c>
      <c r="Q9">
        <v>29</v>
      </c>
      <c r="R9">
        <v>29</v>
      </c>
      <c r="S9">
        <v>29</v>
      </c>
      <c r="T9">
        <v>29</v>
      </c>
      <c r="U9">
        <v>29</v>
      </c>
    </row>
    <row r="10" spans="1:21" x14ac:dyDescent="0.25">
      <c r="A10" s="1" t="s">
        <v>501</v>
      </c>
      <c r="B10">
        <v>19.1173</v>
      </c>
      <c r="C10">
        <v>72.850800000000007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40</v>
      </c>
      <c r="J10">
        <v>40</v>
      </c>
      <c r="K10">
        <v>40</v>
      </c>
      <c r="L10">
        <v>40</v>
      </c>
      <c r="M10">
        <v>40</v>
      </c>
      <c r="N10">
        <v>40</v>
      </c>
      <c r="O10">
        <v>40</v>
      </c>
      <c r="P10">
        <v>40</v>
      </c>
      <c r="Q10">
        <v>40</v>
      </c>
      <c r="R10">
        <v>40</v>
      </c>
      <c r="S10">
        <v>40</v>
      </c>
      <c r="T10">
        <v>40</v>
      </c>
      <c r="U10">
        <v>40</v>
      </c>
    </row>
    <row r="11" spans="1:21" x14ac:dyDescent="0.25">
      <c r="A11" s="1" t="s">
        <v>565</v>
      </c>
      <c r="B11">
        <v>19.127500000000001</v>
      </c>
      <c r="C11">
        <v>72.811999999999998</v>
      </c>
      <c r="D11">
        <v>13</v>
      </c>
      <c r="E11">
        <v>13</v>
      </c>
      <c r="F11">
        <v>13</v>
      </c>
      <c r="G11">
        <v>13</v>
      </c>
      <c r="H11">
        <v>13</v>
      </c>
      <c r="I11">
        <v>13</v>
      </c>
      <c r="J11">
        <v>13</v>
      </c>
      <c r="K11">
        <v>13</v>
      </c>
      <c r="L11">
        <v>13</v>
      </c>
      <c r="M11">
        <v>13</v>
      </c>
      <c r="N11">
        <v>13</v>
      </c>
      <c r="O11">
        <v>13</v>
      </c>
      <c r="P11">
        <v>13</v>
      </c>
      <c r="Q11">
        <v>13</v>
      </c>
      <c r="R11">
        <v>13</v>
      </c>
      <c r="S11">
        <v>13</v>
      </c>
      <c r="T11">
        <v>13</v>
      </c>
      <c r="U11">
        <v>13</v>
      </c>
    </row>
    <row r="12" spans="1:21" x14ac:dyDescent="0.25">
      <c r="A12" s="1" t="s">
        <v>586</v>
      </c>
      <c r="B12">
        <v>19.102599999999999</v>
      </c>
      <c r="C12">
        <v>72.825999999999993</v>
      </c>
      <c r="D12">
        <v>50</v>
      </c>
      <c r="E12">
        <v>50</v>
      </c>
      <c r="F12">
        <v>50</v>
      </c>
      <c r="G12">
        <v>50</v>
      </c>
      <c r="H12">
        <v>50</v>
      </c>
      <c r="I12">
        <v>50</v>
      </c>
      <c r="J12">
        <v>50</v>
      </c>
      <c r="K12">
        <v>50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50</v>
      </c>
      <c r="R12">
        <v>50</v>
      </c>
      <c r="S12">
        <v>50</v>
      </c>
      <c r="T12">
        <v>50</v>
      </c>
      <c r="U12">
        <v>50</v>
      </c>
    </row>
    <row r="13" spans="1:21" x14ac:dyDescent="0.25">
      <c r="A13" s="1" t="s">
        <v>668</v>
      </c>
      <c r="B13">
        <v>19.123999999999999</v>
      </c>
      <c r="C13">
        <v>72.906800000000004</v>
      </c>
      <c r="D13">
        <v>33</v>
      </c>
      <c r="E13">
        <v>33</v>
      </c>
      <c r="F13">
        <v>33</v>
      </c>
      <c r="G13">
        <v>33</v>
      </c>
      <c r="H13">
        <v>33</v>
      </c>
      <c r="I13">
        <v>33</v>
      </c>
      <c r="J13">
        <v>33</v>
      </c>
      <c r="K13">
        <v>33</v>
      </c>
      <c r="L13">
        <v>33</v>
      </c>
      <c r="M13">
        <v>33</v>
      </c>
      <c r="N13">
        <v>33</v>
      </c>
      <c r="O13">
        <v>33</v>
      </c>
      <c r="P13">
        <v>33</v>
      </c>
      <c r="Q13">
        <v>33</v>
      </c>
      <c r="R13">
        <v>33</v>
      </c>
      <c r="S13">
        <v>33</v>
      </c>
      <c r="T13">
        <v>33</v>
      </c>
      <c r="U13">
        <v>33</v>
      </c>
    </row>
    <row r="14" spans="1:21" x14ac:dyDescent="0.25">
      <c r="A14" s="1" t="s">
        <v>727</v>
      </c>
      <c r="B14">
        <v>19.085999999999999</v>
      </c>
      <c r="C14">
        <v>72.91</v>
      </c>
      <c r="D14">
        <v>34</v>
      </c>
      <c r="E14">
        <v>34</v>
      </c>
      <c r="F14">
        <v>34</v>
      </c>
      <c r="G14">
        <v>34</v>
      </c>
      <c r="H14">
        <v>34</v>
      </c>
      <c r="I14">
        <v>34</v>
      </c>
      <c r="J14">
        <v>34</v>
      </c>
      <c r="K14">
        <v>34</v>
      </c>
      <c r="L14">
        <v>34</v>
      </c>
      <c r="M14">
        <v>34</v>
      </c>
      <c r="N14">
        <v>34</v>
      </c>
      <c r="O14">
        <v>34</v>
      </c>
      <c r="P14">
        <v>34</v>
      </c>
      <c r="Q14">
        <v>34</v>
      </c>
      <c r="R14">
        <v>34</v>
      </c>
      <c r="S14">
        <v>34</v>
      </c>
      <c r="T14">
        <v>34</v>
      </c>
      <c r="U14">
        <v>34</v>
      </c>
    </row>
    <row r="15" spans="1:21" x14ac:dyDescent="0.25">
      <c r="A15" s="1" t="s">
        <v>785</v>
      </c>
      <c r="B15">
        <v>19.186</v>
      </c>
      <c r="C15">
        <v>72.849000000000004</v>
      </c>
      <c r="D15">
        <v>39</v>
      </c>
      <c r="E15">
        <v>39</v>
      </c>
      <c r="F15">
        <v>39</v>
      </c>
      <c r="G15">
        <v>39</v>
      </c>
      <c r="H15">
        <v>39</v>
      </c>
      <c r="I15">
        <v>39</v>
      </c>
      <c r="J15">
        <v>39</v>
      </c>
      <c r="K15">
        <v>39</v>
      </c>
      <c r="L15">
        <v>39</v>
      </c>
      <c r="M15">
        <v>39</v>
      </c>
      <c r="N15">
        <v>39</v>
      </c>
      <c r="O15">
        <v>39</v>
      </c>
      <c r="P15">
        <v>39</v>
      </c>
      <c r="Q15">
        <v>39</v>
      </c>
      <c r="R15">
        <v>39</v>
      </c>
      <c r="S15">
        <v>39</v>
      </c>
      <c r="T15">
        <v>39</v>
      </c>
      <c r="U15">
        <v>39</v>
      </c>
    </row>
    <row r="16" spans="1:21" x14ac:dyDescent="0.25">
      <c r="A16" s="1" t="s">
        <v>853</v>
      </c>
      <c r="B16">
        <v>19.206</v>
      </c>
      <c r="C16">
        <v>72.849999999999994</v>
      </c>
      <c r="D16">
        <v>32</v>
      </c>
      <c r="E16">
        <v>32</v>
      </c>
      <c r="F16">
        <v>32</v>
      </c>
      <c r="G16">
        <v>32</v>
      </c>
      <c r="H16">
        <v>32</v>
      </c>
      <c r="I16">
        <v>32</v>
      </c>
      <c r="J16">
        <v>32</v>
      </c>
      <c r="K16">
        <v>32</v>
      </c>
      <c r="L16">
        <v>32</v>
      </c>
      <c r="M16">
        <v>32</v>
      </c>
      <c r="N16">
        <v>32</v>
      </c>
      <c r="O16">
        <v>32</v>
      </c>
      <c r="P16">
        <v>32</v>
      </c>
      <c r="Q16">
        <v>32</v>
      </c>
      <c r="R16">
        <v>32</v>
      </c>
      <c r="S16">
        <v>32</v>
      </c>
      <c r="T16">
        <v>32</v>
      </c>
      <c r="U16">
        <v>32</v>
      </c>
    </row>
    <row r="17" spans="1:21" x14ac:dyDescent="0.25">
      <c r="A17" s="1" t="s">
        <v>914</v>
      </c>
      <c r="B17">
        <v>19.155000000000001</v>
      </c>
      <c r="C17">
        <v>72.849999999999994</v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  <c r="T17">
        <v>7</v>
      </c>
      <c r="U17">
        <v>7</v>
      </c>
    </row>
    <row r="18" spans="1:21" x14ac:dyDescent="0.25">
      <c r="A18" s="1" t="s">
        <v>926</v>
      </c>
      <c r="B18">
        <v>19.074999999999999</v>
      </c>
      <c r="C18">
        <v>73.004000000000005</v>
      </c>
      <c r="D18">
        <v>28</v>
      </c>
      <c r="E18">
        <v>28</v>
      </c>
      <c r="F18">
        <v>28</v>
      </c>
      <c r="G18">
        <v>28</v>
      </c>
      <c r="H18">
        <v>28</v>
      </c>
      <c r="I18">
        <v>28</v>
      </c>
      <c r="J18">
        <v>28</v>
      </c>
      <c r="K18">
        <v>28</v>
      </c>
      <c r="L18">
        <v>28</v>
      </c>
      <c r="M18">
        <v>28</v>
      </c>
      <c r="N18">
        <v>28</v>
      </c>
      <c r="O18">
        <v>28</v>
      </c>
      <c r="P18">
        <v>28</v>
      </c>
      <c r="Q18">
        <v>28</v>
      </c>
      <c r="R18">
        <v>28</v>
      </c>
      <c r="S18">
        <v>28</v>
      </c>
      <c r="T18">
        <v>28</v>
      </c>
      <c r="U18">
        <v>28</v>
      </c>
    </row>
    <row r="19" spans="1:21" x14ac:dyDescent="0.25">
      <c r="A19" s="1" t="s">
        <v>978</v>
      </c>
      <c r="B19">
        <v>19.04</v>
      </c>
      <c r="C19">
        <v>72.86</v>
      </c>
      <c r="D19">
        <v>19</v>
      </c>
      <c r="E19">
        <v>19</v>
      </c>
      <c r="F19">
        <v>19</v>
      </c>
      <c r="G19">
        <v>19</v>
      </c>
      <c r="H19">
        <v>19</v>
      </c>
      <c r="I19">
        <v>19</v>
      </c>
      <c r="J19">
        <v>19</v>
      </c>
      <c r="K19">
        <v>19</v>
      </c>
      <c r="L19">
        <v>19</v>
      </c>
      <c r="M19">
        <v>19</v>
      </c>
      <c r="N19">
        <v>19</v>
      </c>
      <c r="O19">
        <v>19</v>
      </c>
      <c r="P19">
        <v>19</v>
      </c>
      <c r="Q19">
        <v>19</v>
      </c>
      <c r="R19">
        <v>19</v>
      </c>
      <c r="S19">
        <v>19</v>
      </c>
      <c r="T19">
        <v>19</v>
      </c>
      <c r="U19">
        <v>19</v>
      </c>
    </row>
    <row r="20" spans="1:21" x14ac:dyDescent="0.25">
      <c r="A20" s="1" t="s">
        <v>1010</v>
      </c>
      <c r="B20">
        <v>19.018999999999998</v>
      </c>
      <c r="C20">
        <v>72.843999999999994</v>
      </c>
      <c r="D20">
        <v>36</v>
      </c>
      <c r="E20">
        <v>36</v>
      </c>
      <c r="F20">
        <v>36</v>
      </c>
      <c r="G20">
        <v>36</v>
      </c>
      <c r="H20">
        <v>36</v>
      </c>
      <c r="I20">
        <v>36</v>
      </c>
      <c r="J20">
        <v>36</v>
      </c>
      <c r="K20">
        <v>36</v>
      </c>
      <c r="L20">
        <v>36</v>
      </c>
      <c r="M20">
        <v>36</v>
      </c>
      <c r="N20">
        <v>36</v>
      </c>
      <c r="O20">
        <v>36</v>
      </c>
      <c r="P20">
        <v>36</v>
      </c>
      <c r="Q20">
        <v>36</v>
      </c>
      <c r="R20">
        <v>36</v>
      </c>
      <c r="S20">
        <v>36</v>
      </c>
      <c r="T20">
        <v>36</v>
      </c>
      <c r="U20">
        <v>36</v>
      </c>
    </row>
    <row r="21" spans="1:21" x14ac:dyDescent="0.25">
      <c r="A21" s="1" t="s">
        <v>573</v>
      </c>
      <c r="B21">
        <v>19.135000000000002</v>
      </c>
      <c r="C21">
        <v>72.813999999999993</v>
      </c>
      <c r="D21">
        <v>48</v>
      </c>
      <c r="E21">
        <v>48</v>
      </c>
      <c r="F21">
        <v>48</v>
      </c>
      <c r="G21">
        <v>48</v>
      </c>
      <c r="H21">
        <v>48</v>
      </c>
      <c r="I21">
        <v>48</v>
      </c>
      <c r="J21">
        <v>48</v>
      </c>
      <c r="K21">
        <v>48</v>
      </c>
      <c r="L21">
        <v>48</v>
      </c>
      <c r="M21">
        <v>48</v>
      </c>
      <c r="N21">
        <v>48</v>
      </c>
      <c r="O21">
        <v>48</v>
      </c>
      <c r="P21">
        <v>48</v>
      </c>
      <c r="Q21">
        <v>48</v>
      </c>
      <c r="R21">
        <v>48</v>
      </c>
      <c r="S21">
        <v>48</v>
      </c>
      <c r="T21">
        <v>48</v>
      </c>
      <c r="U21">
        <v>48</v>
      </c>
    </row>
    <row r="22" spans="1:21" x14ac:dyDescent="0.25">
      <c r="A22" s="1" t="s">
        <v>1119</v>
      </c>
      <c r="B22">
        <v>19.117000000000001</v>
      </c>
      <c r="C22">
        <v>72.918000000000006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7CEF-7DC9-4ABB-B4BA-FAFD908EED8C}">
  <dimension ref="A1:C15"/>
  <sheetViews>
    <sheetView zoomScale="130" zoomScaleNormal="130" workbookViewId="0">
      <selection activeCell="E6" sqref="E6"/>
    </sheetView>
  </sheetViews>
  <sheetFormatPr defaultRowHeight="15" x14ac:dyDescent="0.25"/>
  <cols>
    <col min="1" max="1" width="34.42578125" bestFit="1" customWidth="1"/>
    <col min="2" max="2" width="19.28515625" bestFit="1" customWidth="1"/>
    <col min="3" max="3" width="12.7109375" bestFit="1" customWidth="1"/>
  </cols>
  <sheetData>
    <row r="1" spans="1:3" x14ac:dyDescent="0.25">
      <c r="A1" s="9" t="s">
        <v>1146</v>
      </c>
      <c r="B1" s="9" t="s">
        <v>1147</v>
      </c>
      <c r="C1" s="9" t="s">
        <v>1148</v>
      </c>
    </row>
    <row r="2" spans="1:3" x14ac:dyDescent="0.25">
      <c r="A2" s="10" t="s">
        <v>1149</v>
      </c>
      <c r="B2" s="2">
        <v>450</v>
      </c>
      <c r="C2" s="11" t="s">
        <v>1150</v>
      </c>
    </row>
    <row r="3" spans="1:3" x14ac:dyDescent="0.25">
      <c r="A3" s="10" t="s">
        <v>1151</v>
      </c>
      <c r="B3">
        <v>80</v>
      </c>
      <c r="C3" s="11" t="s">
        <v>1152</v>
      </c>
    </row>
    <row r="4" spans="1:3" x14ac:dyDescent="0.25">
      <c r="A4" s="10" t="s">
        <v>1153</v>
      </c>
      <c r="B4">
        <v>30</v>
      </c>
      <c r="C4" s="11" t="s">
        <v>1154</v>
      </c>
    </row>
    <row r="5" spans="1:3" x14ac:dyDescent="0.25">
      <c r="A5" s="10" t="s">
        <v>1155</v>
      </c>
      <c r="B5" s="4">
        <v>90000</v>
      </c>
      <c r="C5" s="11" t="s">
        <v>1156</v>
      </c>
    </row>
    <row r="6" spans="1:3" x14ac:dyDescent="0.25">
      <c r="A6" s="10" t="s">
        <v>1157</v>
      </c>
      <c r="B6" s="2">
        <v>80000</v>
      </c>
      <c r="C6" s="11" t="s">
        <v>1156</v>
      </c>
    </row>
    <row r="7" spans="1:3" x14ac:dyDescent="0.25">
      <c r="A7" s="10" t="s">
        <v>1158</v>
      </c>
      <c r="B7" s="2">
        <v>30000</v>
      </c>
      <c r="C7" s="11" t="s">
        <v>1156</v>
      </c>
    </row>
    <row r="8" spans="1:3" x14ac:dyDescent="0.25">
      <c r="A8" s="10" t="s">
        <v>1159</v>
      </c>
      <c r="B8" s="2">
        <v>20000</v>
      </c>
      <c r="C8" s="11" t="s">
        <v>1156</v>
      </c>
    </row>
    <row r="9" spans="1:3" x14ac:dyDescent="0.25">
      <c r="A9" s="10" t="s">
        <v>1160</v>
      </c>
      <c r="B9" s="3">
        <v>0.25</v>
      </c>
      <c r="C9" s="11" t="s">
        <v>1161</v>
      </c>
    </row>
    <row r="10" spans="1:3" x14ac:dyDescent="0.25">
      <c r="A10" s="10" t="s">
        <v>1162</v>
      </c>
      <c r="B10" s="2">
        <v>2000000</v>
      </c>
      <c r="C10" s="11" t="s">
        <v>1163</v>
      </c>
    </row>
    <row r="11" spans="1:3" x14ac:dyDescent="0.25">
      <c r="A11" s="10"/>
    </row>
    <row r="12" spans="1:3" x14ac:dyDescent="0.25">
      <c r="A12" s="10"/>
    </row>
    <row r="13" spans="1:3" x14ac:dyDescent="0.25">
      <c r="A13" s="10" t="s">
        <v>1177</v>
      </c>
      <c r="B13" s="3">
        <v>1</v>
      </c>
    </row>
    <row r="14" spans="1:3" x14ac:dyDescent="0.25">
      <c r="A14" s="10"/>
    </row>
    <row r="15" spans="1:3" x14ac:dyDescent="0.25">
      <c r="A15" s="10" t="s">
        <v>1178</v>
      </c>
      <c r="B15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3C85-4B3A-4C90-A5AB-B303A3FDFABC}">
  <dimension ref="A1:O23"/>
  <sheetViews>
    <sheetView tabSelected="1" zoomScale="145" zoomScaleNormal="145" workbookViewId="0">
      <selection activeCell="I1" sqref="I1:I1048576"/>
    </sheetView>
  </sheetViews>
  <sheetFormatPr defaultRowHeight="15" x14ac:dyDescent="0.25"/>
  <cols>
    <col min="3" max="3" width="11" bestFit="1" customWidth="1"/>
    <col min="4" max="4" width="10.7109375" bestFit="1" customWidth="1"/>
    <col min="5" max="5" width="19.140625" bestFit="1" customWidth="1"/>
    <col min="6" max="6" width="16.85546875" bestFit="1" customWidth="1"/>
    <col min="7" max="7" width="13.7109375" bestFit="1" customWidth="1"/>
    <col min="8" max="8" width="14" bestFit="1" customWidth="1"/>
    <col min="9" max="9" width="7.85546875" style="13" bestFit="1" customWidth="1"/>
    <col min="10" max="10" width="22.5703125" bestFit="1" customWidth="1"/>
    <col min="11" max="11" width="19.7109375" bestFit="1" customWidth="1"/>
    <col min="12" max="12" width="18.28515625" bestFit="1" customWidth="1"/>
    <col min="13" max="13" width="20.42578125" bestFit="1" customWidth="1"/>
    <col min="14" max="14" width="14.5703125" bestFit="1" customWidth="1"/>
    <col min="15" max="15" width="16" bestFit="1" customWidth="1"/>
  </cols>
  <sheetData>
    <row r="1" spans="1:15" x14ac:dyDescent="0.25">
      <c r="A1" s="5" t="s">
        <v>1164</v>
      </c>
      <c r="B1" s="5" t="s">
        <v>1165</v>
      </c>
      <c r="C1" s="5" t="s">
        <v>1166</v>
      </c>
      <c r="D1" s="5" t="s">
        <v>1167</v>
      </c>
      <c r="E1" s="5" t="s">
        <v>1168</v>
      </c>
      <c r="F1" s="5" t="s">
        <v>1169</v>
      </c>
      <c r="G1" s="5" t="s">
        <v>1170</v>
      </c>
      <c r="H1" s="5" t="s">
        <v>1171</v>
      </c>
      <c r="I1" s="12" t="s">
        <v>1172</v>
      </c>
      <c r="J1" s="5" t="s">
        <v>1173</v>
      </c>
      <c r="K1" s="5" t="s">
        <v>1174</v>
      </c>
      <c r="L1" s="5" t="s">
        <v>1175</v>
      </c>
      <c r="M1" s="5" t="s">
        <v>1176</v>
      </c>
    </row>
    <row r="2" spans="1:15" x14ac:dyDescent="0.25">
      <c r="A2" t="str">
        <f>INDEX(MumbaiLocationAnalysis[], ROW()-1, 1)</f>
        <v>Colaba</v>
      </c>
      <c r="B2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133.20000000000002</v>
      </c>
      <c r="C2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180</v>
      </c>
      <c r="D2">
        <f>INDEX(MumbaiLocationAnalysis[], ROW()-1, MATCH("cafe", MumbaiLocationAnalysis[#Headers], 0))</f>
        <v>36</v>
      </c>
      <c r="E2">
        <f xml:space="preserve"> (C2 * Assumptions!$B$3 / 1000) * Assumptions!$B$15</f>
        <v>14.4</v>
      </c>
      <c r="F2" s="2">
        <f xml:space="preserve"> E2 * Assumptions!$B$2 * Assumptions!$B$4</f>
        <v>194400</v>
      </c>
      <c r="G2" s="2">
        <f xml:space="preserve"> (Assumptions!$B$5 * Assumptions!$B$13) + Assumptions!$B$6 + Assumptions!$B$7 + Assumptions!$B$8</f>
        <v>220000</v>
      </c>
      <c r="H2" s="2">
        <f xml:space="preserve"> F2 - G2</f>
        <v>-25600</v>
      </c>
      <c r="I2" s="13">
        <f xml:space="preserve"> H2 / Assumptions!$B$10</f>
        <v>-1.2800000000000001E-2</v>
      </c>
      <c r="J2" t="str">
        <f>IF(B2&gt;150,"Strongly Recommended",IF(B2&gt;120,"Worth Considering",IF(B2&gt;100,"Low Potential","Strongly Discouraged")))</f>
        <v>Worth Considering</v>
      </c>
      <c r="K2" s="2">
        <f xml:space="preserve"> G2 / Assumptions!$B$9</f>
        <v>880000</v>
      </c>
      <c r="L2">
        <f xml:space="preserve"> K2 / (Assumptions!$B$2 * Assumptions!$B$4)</f>
        <v>65.18518518518519</v>
      </c>
      <c r="M2" t="str">
        <f xml:space="preserve"> IF(H2 &gt; 0, "Profitable", "Needs Improvement")</f>
        <v>Needs Improvement</v>
      </c>
      <c r="N2" s="3"/>
      <c r="O2" s="3"/>
    </row>
    <row r="3" spans="1:15" x14ac:dyDescent="0.25">
      <c r="A3" t="str">
        <f>INDEX(MumbaiLocationAnalysis[], ROW()-1, 1)</f>
        <v>Fort</v>
      </c>
      <c r="B3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185</v>
      </c>
      <c r="C3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250</v>
      </c>
      <c r="D3">
        <f>INDEX(MumbaiLocationAnalysis[], ROW()-1, MATCH("cafe", MumbaiLocationAnalysis[#Headers], 0))</f>
        <v>50</v>
      </c>
      <c r="E3">
        <f xml:space="preserve"> (C3 * Assumptions!$B$3 / 1000) * Assumptions!$B$15</f>
        <v>20</v>
      </c>
      <c r="F3" s="2">
        <f xml:space="preserve"> E3 * Assumptions!$B$2 * Assumptions!$B$4</f>
        <v>270000</v>
      </c>
      <c r="G3" s="2">
        <f xml:space="preserve"> (Assumptions!$B$5 * Assumptions!$B$13) + Assumptions!$B$6 + Assumptions!$B$7 + Assumptions!$B$8</f>
        <v>220000</v>
      </c>
      <c r="H3" s="2">
        <f t="shared" ref="H3:H22" si="0" xml:space="preserve"> F3 - G3</f>
        <v>50000</v>
      </c>
      <c r="I3" s="13">
        <f xml:space="preserve"> H3 / Assumptions!$B$10</f>
        <v>2.5000000000000001E-2</v>
      </c>
      <c r="J3" t="str">
        <f t="shared" ref="J3:J22" si="1">IF(B3&gt;150,"Strongly Recommended",IF(B3&gt;120,"Worth Considering",IF(B3&gt;100,"Low Potential","Strongly Discouraged")))</f>
        <v>Strongly Recommended</v>
      </c>
      <c r="K3" s="2">
        <f xml:space="preserve"> G3 / Assumptions!$B$9</f>
        <v>880000</v>
      </c>
      <c r="L3">
        <f xml:space="preserve"> K3 / (Assumptions!$B$2 * Assumptions!$B$4)</f>
        <v>65.18518518518519</v>
      </c>
      <c r="M3" t="str">
        <f t="shared" ref="M3:M22" si="2" xml:space="preserve"> IF(H3 &gt; 0, "Profitable", "Needs Improvement")</f>
        <v>Profitable</v>
      </c>
      <c r="N3" s="3"/>
      <c r="O3" s="3"/>
    </row>
    <row r="4" spans="1:15" x14ac:dyDescent="0.25">
      <c r="A4" t="str">
        <f>INDEX(MumbaiLocationAnalysis[], ROW()-1, 1)</f>
        <v>Churchgate</v>
      </c>
      <c r="B4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185</v>
      </c>
      <c r="C4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250</v>
      </c>
      <c r="D4">
        <f>INDEX(MumbaiLocationAnalysis[], ROW()-1, MATCH("cafe", MumbaiLocationAnalysis[#Headers], 0))</f>
        <v>50</v>
      </c>
      <c r="E4">
        <f xml:space="preserve"> (C4 * Assumptions!$B$3 / 1000) * Assumptions!$B$15</f>
        <v>20</v>
      </c>
      <c r="F4" s="2">
        <f xml:space="preserve"> E4 * Assumptions!$B$2 * Assumptions!$B$4</f>
        <v>270000</v>
      </c>
      <c r="G4" s="2">
        <f xml:space="preserve"> (Assumptions!$B$5 * Assumptions!$B$13) + Assumptions!$B$6 + Assumptions!$B$7 + Assumptions!$B$8</f>
        <v>220000</v>
      </c>
      <c r="H4" s="2">
        <f t="shared" si="0"/>
        <v>50000</v>
      </c>
      <c r="I4" s="13">
        <f xml:space="preserve"> H4 / Assumptions!$B$10</f>
        <v>2.5000000000000001E-2</v>
      </c>
      <c r="J4" t="str">
        <f t="shared" si="1"/>
        <v>Strongly Recommended</v>
      </c>
      <c r="K4" s="2">
        <f xml:space="preserve"> G4 / Assumptions!$B$9</f>
        <v>880000</v>
      </c>
      <c r="L4">
        <f xml:space="preserve"> K4 / (Assumptions!$B$2 * Assumptions!$B$4)</f>
        <v>65.18518518518519</v>
      </c>
      <c r="M4" t="str">
        <f t="shared" si="2"/>
        <v>Profitable</v>
      </c>
      <c r="N4" s="3"/>
      <c r="O4" s="3"/>
    </row>
    <row r="5" spans="1:15" x14ac:dyDescent="0.25">
      <c r="A5" t="str">
        <f>INDEX(MumbaiLocationAnalysis[], ROW()-1, 1)</f>
        <v>Marine Lines</v>
      </c>
      <c r="B5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33.300000000000004</v>
      </c>
      <c r="C5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45</v>
      </c>
      <c r="D5">
        <f>INDEX(MumbaiLocationAnalysis[], ROW()-1, MATCH("cafe", MumbaiLocationAnalysis[#Headers], 0))</f>
        <v>9</v>
      </c>
      <c r="E5">
        <f xml:space="preserve"> (C5 * Assumptions!$B$3 / 1000) * Assumptions!$B$15</f>
        <v>3.6</v>
      </c>
      <c r="F5" s="2">
        <f xml:space="preserve"> E5 * Assumptions!$B$2 * Assumptions!$B$4</f>
        <v>48600</v>
      </c>
      <c r="G5" s="2">
        <f xml:space="preserve"> (Assumptions!$B$5 * Assumptions!$B$13) + Assumptions!$B$6 + Assumptions!$B$7 + Assumptions!$B$8</f>
        <v>220000</v>
      </c>
      <c r="H5" s="2">
        <f t="shared" si="0"/>
        <v>-171400</v>
      </c>
      <c r="I5" s="13">
        <f xml:space="preserve"> H5 / Assumptions!$B$10</f>
        <v>-8.5699999999999998E-2</v>
      </c>
      <c r="J5" t="str">
        <f t="shared" si="1"/>
        <v>Strongly Discouraged</v>
      </c>
      <c r="K5" s="2">
        <f xml:space="preserve"> G5 / Assumptions!$B$9</f>
        <v>880000</v>
      </c>
      <c r="L5">
        <f xml:space="preserve"> K5 / (Assumptions!$B$2 * Assumptions!$B$4)</f>
        <v>65.18518518518519</v>
      </c>
      <c r="M5" t="str">
        <f t="shared" si="2"/>
        <v>Needs Improvement</v>
      </c>
      <c r="N5" s="3"/>
      <c r="O5" s="3"/>
    </row>
    <row r="6" spans="1:15" x14ac:dyDescent="0.25">
      <c r="A6" t="str">
        <f>INDEX(MumbaiLocationAnalysis[], ROW()-1, 1)</f>
        <v>Dadar</v>
      </c>
      <c r="B6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81.399999999999977</v>
      </c>
      <c r="C6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110</v>
      </c>
      <c r="D6">
        <f>INDEX(MumbaiLocationAnalysis[], ROW()-1, MATCH("cafe", MumbaiLocationAnalysis[#Headers], 0))</f>
        <v>22</v>
      </c>
      <c r="E6">
        <f xml:space="preserve"> (C6 * Assumptions!$B$3 / 1000) * Assumptions!$B$15</f>
        <v>8.8000000000000007</v>
      </c>
      <c r="F6" s="2">
        <f xml:space="preserve"> E6 * Assumptions!$B$2 * Assumptions!$B$4</f>
        <v>118800.00000000001</v>
      </c>
      <c r="G6" s="2">
        <f xml:space="preserve"> (Assumptions!$B$5 * Assumptions!$B$13) + Assumptions!$B$6 + Assumptions!$B$7 + Assumptions!$B$8</f>
        <v>220000</v>
      </c>
      <c r="H6" s="2">
        <f t="shared" si="0"/>
        <v>-101199.99999999999</v>
      </c>
      <c r="I6" s="13">
        <f xml:space="preserve"> H6 / Assumptions!$B$10</f>
        <v>-5.0599999999999992E-2</v>
      </c>
      <c r="J6" t="str">
        <f t="shared" si="1"/>
        <v>Strongly Discouraged</v>
      </c>
      <c r="K6" s="2">
        <f xml:space="preserve"> G6 / Assumptions!$B$9</f>
        <v>880000</v>
      </c>
      <c r="L6">
        <f xml:space="preserve"> K6 / (Assumptions!$B$2 * Assumptions!$B$4)</f>
        <v>65.18518518518519</v>
      </c>
      <c r="M6" t="str">
        <f t="shared" si="2"/>
        <v>Needs Improvement</v>
      </c>
      <c r="N6" s="3"/>
      <c r="O6" s="3"/>
    </row>
    <row r="7" spans="1:15" x14ac:dyDescent="0.25">
      <c r="A7" t="str">
        <f>INDEX(MumbaiLocationAnalysis[], ROW()-1, 1)</f>
        <v>Lower Parel</v>
      </c>
      <c r="B7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185</v>
      </c>
      <c r="C7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250</v>
      </c>
      <c r="D7">
        <f>INDEX(MumbaiLocationAnalysis[], ROW()-1, MATCH("cafe", MumbaiLocationAnalysis[#Headers], 0))</f>
        <v>50</v>
      </c>
      <c r="E7">
        <f xml:space="preserve"> (C7 * Assumptions!$B$3 / 1000) * Assumptions!$B$15</f>
        <v>20</v>
      </c>
      <c r="F7" s="2">
        <f xml:space="preserve"> E7 * Assumptions!$B$2 * Assumptions!$B$4</f>
        <v>270000</v>
      </c>
      <c r="G7" s="2">
        <f xml:space="preserve"> (Assumptions!$B$5 * Assumptions!$B$13) + Assumptions!$B$6 + Assumptions!$B$7 + Assumptions!$B$8</f>
        <v>220000</v>
      </c>
      <c r="H7" s="2">
        <f t="shared" si="0"/>
        <v>50000</v>
      </c>
      <c r="I7" s="13">
        <f xml:space="preserve"> H7 / Assumptions!$B$10</f>
        <v>2.5000000000000001E-2</v>
      </c>
      <c r="J7" t="str">
        <f t="shared" si="1"/>
        <v>Strongly Recommended</v>
      </c>
      <c r="K7" s="2">
        <f xml:space="preserve"> G7 / Assumptions!$B$9</f>
        <v>880000</v>
      </c>
      <c r="L7">
        <f xml:space="preserve"> K7 / (Assumptions!$B$2 * Assumptions!$B$4)</f>
        <v>65.18518518518519</v>
      </c>
      <c r="M7" t="str">
        <f t="shared" si="2"/>
        <v>Profitable</v>
      </c>
      <c r="N7" s="3"/>
      <c r="O7" s="3"/>
    </row>
    <row r="8" spans="1:15" x14ac:dyDescent="0.25">
      <c r="A8" t="str">
        <f>INDEX(MumbaiLocationAnalysis[], ROW()-1, 1)</f>
        <v>Bandra West</v>
      </c>
      <c r="B8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185</v>
      </c>
      <c r="C8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250</v>
      </c>
      <c r="D8">
        <f>INDEX(MumbaiLocationAnalysis[], ROW()-1, MATCH("cafe", MumbaiLocationAnalysis[#Headers], 0))</f>
        <v>50</v>
      </c>
      <c r="E8">
        <f xml:space="preserve"> (C8 * Assumptions!$B$3 / 1000) * Assumptions!$B$15</f>
        <v>20</v>
      </c>
      <c r="F8" s="2">
        <f xml:space="preserve"> E8 * Assumptions!$B$2 * Assumptions!$B$4</f>
        <v>270000</v>
      </c>
      <c r="G8" s="2">
        <f xml:space="preserve"> (Assumptions!$B$5 * Assumptions!$B$13) + Assumptions!$B$6 + Assumptions!$B$7 + Assumptions!$B$8</f>
        <v>220000</v>
      </c>
      <c r="H8" s="2">
        <f t="shared" si="0"/>
        <v>50000</v>
      </c>
      <c r="I8" s="13">
        <f xml:space="preserve"> H8 / Assumptions!$B$10</f>
        <v>2.5000000000000001E-2</v>
      </c>
      <c r="J8" t="str">
        <f t="shared" si="1"/>
        <v>Strongly Recommended</v>
      </c>
      <c r="K8" s="2">
        <f xml:space="preserve"> G8 / Assumptions!$B$9</f>
        <v>880000</v>
      </c>
      <c r="L8">
        <f xml:space="preserve"> K8 / (Assumptions!$B$2 * Assumptions!$B$4)</f>
        <v>65.18518518518519</v>
      </c>
      <c r="M8" t="str">
        <f t="shared" si="2"/>
        <v>Profitable</v>
      </c>
      <c r="N8" s="3"/>
      <c r="O8" s="3"/>
    </row>
    <row r="9" spans="1:15" x14ac:dyDescent="0.25">
      <c r="A9" t="str">
        <f>INDEX(MumbaiLocationAnalysis[], ROW()-1, 1)</f>
        <v>Bandra Kurla Complex</v>
      </c>
      <c r="B9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107.3</v>
      </c>
      <c r="C9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145</v>
      </c>
      <c r="D9">
        <f>INDEX(MumbaiLocationAnalysis[], ROW()-1, MATCH("cafe", MumbaiLocationAnalysis[#Headers], 0))</f>
        <v>29</v>
      </c>
      <c r="E9">
        <f xml:space="preserve"> (C9 * Assumptions!$B$3 / 1000) * Assumptions!$B$15</f>
        <v>11.6</v>
      </c>
      <c r="F9" s="2">
        <f xml:space="preserve"> E9 * Assumptions!$B$2 * Assumptions!$B$4</f>
        <v>156600</v>
      </c>
      <c r="G9" s="2">
        <f xml:space="preserve"> (Assumptions!$B$5 * Assumptions!$B$13) + Assumptions!$B$6 + Assumptions!$B$7 + Assumptions!$B$8</f>
        <v>220000</v>
      </c>
      <c r="H9" s="2">
        <f t="shared" si="0"/>
        <v>-63400</v>
      </c>
      <c r="I9" s="13">
        <f xml:space="preserve"> H9 / Assumptions!$B$10</f>
        <v>-3.1699999999999999E-2</v>
      </c>
      <c r="J9" t="str">
        <f t="shared" si="1"/>
        <v>Low Potential</v>
      </c>
      <c r="K9" s="2">
        <f xml:space="preserve"> G9 / Assumptions!$B$9</f>
        <v>880000</v>
      </c>
      <c r="L9">
        <f xml:space="preserve"> K9 / (Assumptions!$B$2 * Assumptions!$B$4)</f>
        <v>65.18518518518519</v>
      </c>
      <c r="M9" t="str">
        <f t="shared" si="2"/>
        <v>Needs Improvement</v>
      </c>
      <c r="N9" s="3"/>
      <c r="O9" s="3"/>
    </row>
    <row r="10" spans="1:15" x14ac:dyDescent="0.25">
      <c r="A10" t="str">
        <f>INDEX(MumbaiLocationAnalysis[], ROW()-1, 1)</f>
        <v>Andheri East</v>
      </c>
      <c r="B10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148</v>
      </c>
      <c r="C10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200</v>
      </c>
      <c r="D10">
        <f>INDEX(MumbaiLocationAnalysis[], ROW()-1, MATCH("cafe", MumbaiLocationAnalysis[#Headers], 0))</f>
        <v>40</v>
      </c>
      <c r="E10">
        <f xml:space="preserve"> (C10 * Assumptions!$B$3 / 1000) * Assumptions!$B$15</f>
        <v>16</v>
      </c>
      <c r="F10" s="2">
        <f xml:space="preserve"> E10 * Assumptions!$B$2 * Assumptions!$B$4</f>
        <v>216000</v>
      </c>
      <c r="G10" s="2">
        <f xml:space="preserve"> (Assumptions!$B$5 * Assumptions!$B$13) + Assumptions!$B$6 + Assumptions!$B$7 + Assumptions!$B$8</f>
        <v>220000</v>
      </c>
      <c r="H10" s="2">
        <f t="shared" si="0"/>
        <v>-4000</v>
      </c>
      <c r="I10" s="13">
        <f xml:space="preserve"> H10 / Assumptions!$B$10</f>
        <v>-2E-3</v>
      </c>
      <c r="J10" t="str">
        <f>IF(B10&gt;150,"Strongly Recommended",IF(B10&gt;120,"Worth Considering",IF(B10&gt;100,"Low Potential","Strongly Discouraged")))</f>
        <v>Worth Considering</v>
      </c>
      <c r="K10" s="2">
        <f xml:space="preserve"> G10 / Assumptions!$B$9</f>
        <v>880000</v>
      </c>
      <c r="L10">
        <f xml:space="preserve"> K10 / (Assumptions!$B$2 * Assumptions!$B$4)</f>
        <v>65.18518518518519</v>
      </c>
      <c r="M10" t="str">
        <f t="shared" si="2"/>
        <v>Needs Improvement</v>
      </c>
      <c r="N10" s="3"/>
      <c r="O10" s="3"/>
    </row>
    <row r="11" spans="1:15" x14ac:dyDescent="0.25">
      <c r="A11" t="str">
        <f>INDEX(MumbaiLocationAnalysis[], ROW()-1, 1)</f>
        <v>Andheri West</v>
      </c>
      <c r="B11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48.099999999999994</v>
      </c>
      <c r="C11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65</v>
      </c>
      <c r="D11">
        <f>INDEX(MumbaiLocationAnalysis[], ROW()-1, MATCH("cafe", MumbaiLocationAnalysis[#Headers], 0))</f>
        <v>13</v>
      </c>
      <c r="E11">
        <f xml:space="preserve"> (C11 * Assumptions!$B$3 / 1000) * Assumptions!$B$15</f>
        <v>5.2</v>
      </c>
      <c r="F11" s="2">
        <f xml:space="preserve"> E11 * Assumptions!$B$2 * Assumptions!$B$4</f>
        <v>70200</v>
      </c>
      <c r="G11" s="2">
        <f xml:space="preserve"> (Assumptions!$B$5 * Assumptions!$B$13) + Assumptions!$B$6 + Assumptions!$B$7 + Assumptions!$B$8</f>
        <v>220000</v>
      </c>
      <c r="H11" s="2">
        <f t="shared" si="0"/>
        <v>-149800</v>
      </c>
      <c r="I11" s="13">
        <f xml:space="preserve"> H11 / Assumptions!$B$10</f>
        <v>-7.4899999999999994E-2</v>
      </c>
      <c r="J11" t="str">
        <f t="shared" si="1"/>
        <v>Strongly Discouraged</v>
      </c>
      <c r="K11" s="2">
        <f xml:space="preserve"> G11 / Assumptions!$B$9</f>
        <v>880000</v>
      </c>
      <c r="L11">
        <f xml:space="preserve"> K11 / (Assumptions!$B$2 * Assumptions!$B$4)</f>
        <v>65.18518518518519</v>
      </c>
      <c r="M11" t="str">
        <f t="shared" si="2"/>
        <v>Needs Improvement</v>
      </c>
      <c r="N11" s="3"/>
      <c r="O11" s="3"/>
    </row>
    <row r="12" spans="1:15" x14ac:dyDescent="0.25">
      <c r="A12" t="str">
        <f>INDEX(MumbaiLocationAnalysis[], ROW()-1, 1)</f>
        <v>Juhu</v>
      </c>
      <c r="B12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185</v>
      </c>
      <c r="C12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250</v>
      </c>
      <c r="D12">
        <f>INDEX(MumbaiLocationAnalysis[], ROW()-1, MATCH("cafe", MumbaiLocationAnalysis[#Headers], 0))</f>
        <v>50</v>
      </c>
      <c r="E12">
        <f xml:space="preserve"> (C12 * Assumptions!$B$3 / 1000) * Assumptions!$B$15</f>
        <v>20</v>
      </c>
      <c r="F12" s="2">
        <f xml:space="preserve"> E12 * Assumptions!$B$2 * Assumptions!$B$4</f>
        <v>270000</v>
      </c>
      <c r="G12" s="2">
        <f xml:space="preserve"> (Assumptions!$B$5 * Assumptions!$B$13) + Assumptions!$B$6 + Assumptions!$B$7 + Assumptions!$B$8</f>
        <v>220000</v>
      </c>
      <c r="H12" s="2">
        <f t="shared" si="0"/>
        <v>50000</v>
      </c>
      <c r="I12" s="13">
        <f xml:space="preserve"> H12 / Assumptions!$B$10</f>
        <v>2.5000000000000001E-2</v>
      </c>
      <c r="J12" t="str">
        <f t="shared" si="1"/>
        <v>Strongly Recommended</v>
      </c>
      <c r="K12" s="2">
        <f xml:space="preserve"> G12 / Assumptions!$B$9</f>
        <v>880000</v>
      </c>
      <c r="L12">
        <f xml:space="preserve"> K12 / (Assumptions!$B$2 * Assumptions!$B$4)</f>
        <v>65.18518518518519</v>
      </c>
      <c r="M12" t="str">
        <f t="shared" si="2"/>
        <v>Profitable</v>
      </c>
      <c r="N12" s="3"/>
      <c r="O12" s="3"/>
    </row>
    <row r="13" spans="1:15" x14ac:dyDescent="0.25">
      <c r="A13" t="str">
        <f>INDEX(MumbaiLocationAnalysis[], ROW()-1, 1)</f>
        <v>Powai</v>
      </c>
      <c r="B13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122.1</v>
      </c>
      <c r="C13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165</v>
      </c>
      <c r="D13">
        <f>INDEX(MumbaiLocationAnalysis[], ROW()-1, MATCH("cafe", MumbaiLocationAnalysis[#Headers], 0))</f>
        <v>33</v>
      </c>
      <c r="E13">
        <f xml:space="preserve"> (C13 * Assumptions!$B$3 / 1000) * Assumptions!$B$15</f>
        <v>13.2</v>
      </c>
      <c r="F13" s="2">
        <f xml:space="preserve"> E13 * Assumptions!$B$2 * Assumptions!$B$4</f>
        <v>178200</v>
      </c>
      <c r="G13" s="2">
        <f xml:space="preserve"> (Assumptions!$B$5 * Assumptions!$B$13) + Assumptions!$B$6 + Assumptions!$B$7 + Assumptions!$B$8</f>
        <v>220000</v>
      </c>
      <c r="H13" s="2">
        <f t="shared" si="0"/>
        <v>-41800</v>
      </c>
      <c r="I13" s="13">
        <f xml:space="preserve"> H13 / Assumptions!$B$10</f>
        <v>-2.0899999999999998E-2</v>
      </c>
      <c r="J13" t="str">
        <f t="shared" si="1"/>
        <v>Worth Considering</v>
      </c>
      <c r="K13" s="2">
        <f xml:space="preserve"> G13 / Assumptions!$B$9</f>
        <v>880000</v>
      </c>
      <c r="L13">
        <f xml:space="preserve"> K13 / (Assumptions!$B$2 * Assumptions!$B$4)</f>
        <v>65.18518518518519</v>
      </c>
      <c r="M13" t="str">
        <f t="shared" si="2"/>
        <v>Needs Improvement</v>
      </c>
      <c r="N13" s="3"/>
      <c r="O13" s="3"/>
    </row>
    <row r="14" spans="1:15" x14ac:dyDescent="0.25">
      <c r="A14" t="str">
        <f>INDEX(MumbaiLocationAnalysis[], ROW()-1, 1)</f>
        <v>Ghatkopar</v>
      </c>
      <c r="B14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125.79999999999997</v>
      </c>
      <c r="C14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170</v>
      </c>
      <c r="D14">
        <f>INDEX(MumbaiLocationAnalysis[], ROW()-1, MATCH("cafe", MumbaiLocationAnalysis[#Headers], 0))</f>
        <v>34</v>
      </c>
      <c r="E14">
        <f xml:space="preserve"> (C14 * Assumptions!$B$3 / 1000) * Assumptions!$B$15</f>
        <v>13.6</v>
      </c>
      <c r="F14" s="2">
        <f xml:space="preserve"> E14 * Assumptions!$B$2 * Assumptions!$B$4</f>
        <v>183600</v>
      </c>
      <c r="G14" s="2">
        <f xml:space="preserve"> (Assumptions!$B$5 * Assumptions!$B$13) + Assumptions!$B$6 + Assumptions!$B$7 + Assumptions!$B$8</f>
        <v>220000</v>
      </c>
      <c r="H14" s="2">
        <f t="shared" si="0"/>
        <v>-36400</v>
      </c>
      <c r="I14" s="13">
        <f xml:space="preserve"> H14 / Assumptions!$B$10</f>
        <v>-1.8200000000000001E-2</v>
      </c>
      <c r="J14" t="str">
        <f t="shared" si="1"/>
        <v>Worth Considering</v>
      </c>
      <c r="K14" s="2">
        <f xml:space="preserve"> G14 / Assumptions!$B$9</f>
        <v>880000</v>
      </c>
      <c r="L14">
        <f xml:space="preserve"> K14 / (Assumptions!$B$2 * Assumptions!$B$4)</f>
        <v>65.18518518518519</v>
      </c>
      <c r="M14" t="str">
        <f t="shared" si="2"/>
        <v>Needs Improvement</v>
      </c>
      <c r="N14" s="3"/>
      <c r="O14" s="3"/>
    </row>
    <row r="15" spans="1:15" x14ac:dyDescent="0.25">
      <c r="A15" t="str">
        <f>INDEX(MumbaiLocationAnalysis[], ROW()-1, 1)</f>
        <v>Malad</v>
      </c>
      <c r="B15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144.29999999999995</v>
      </c>
      <c r="C15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195</v>
      </c>
      <c r="D15">
        <f>INDEX(MumbaiLocationAnalysis[], ROW()-1, MATCH("cafe", MumbaiLocationAnalysis[#Headers], 0))</f>
        <v>39</v>
      </c>
      <c r="E15">
        <f xml:space="preserve"> (C15 * Assumptions!$B$3 / 1000) * Assumptions!$B$15</f>
        <v>15.6</v>
      </c>
      <c r="F15" s="2">
        <f xml:space="preserve"> E15 * Assumptions!$B$2 * Assumptions!$B$4</f>
        <v>210600</v>
      </c>
      <c r="G15" s="2">
        <f xml:space="preserve"> (Assumptions!$B$5 * Assumptions!$B$13) + Assumptions!$B$6 + Assumptions!$B$7 + Assumptions!$B$8</f>
        <v>220000</v>
      </c>
      <c r="H15" s="2">
        <f t="shared" si="0"/>
        <v>-9400</v>
      </c>
      <c r="I15" s="13">
        <f xml:space="preserve"> H15 / Assumptions!$B$10</f>
        <v>-4.7000000000000002E-3</v>
      </c>
      <c r="J15" t="str">
        <f t="shared" si="1"/>
        <v>Worth Considering</v>
      </c>
      <c r="K15" s="2">
        <f xml:space="preserve"> G15 / Assumptions!$B$9</f>
        <v>880000</v>
      </c>
      <c r="L15">
        <f xml:space="preserve"> K15 / (Assumptions!$B$2 * Assumptions!$B$4)</f>
        <v>65.18518518518519</v>
      </c>
      <c r="M15" t="str">
        <f t="shared" si="2"/>
        <v>Needs Improvement</v>
      </c>
      <c r="N15" s="3"/>
      <c r="O15" s="3"/>
    </row>
    <row r="16" spans="1:15" x14ac:dyDescent="0.25">
      <c r="A16" t="str">
        <f>INDEX(MumbaiLocationAnalysis[], ROW()-1, 1)</f>
        <v>Kandivali</v>
      </c>
      <c r="B16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118.4</v>
      </c>
      <c r="C16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160</v>
      </c>
      <c r="D16">
        <f>INDEX(MumbaiLocationAnalysis[], ROW()-1, MATCH("cafe", MumbaiLocationAnalysis[#Headers], 0))</f>
        <v>32</v>
      </c>
      <c r="E16">
        <f xml:space="preserve"> (C16 * Assumptions!$B$3 / 1000) * Assumptions!$B$15</f>
        <v>12.8</v>
      </c>
      <c r="F16" s="2">
        <f xml:space="preserve"> E16 * Assumptions!$B$2 * Assumptions!$B$4</f>
        <v>172800</v>
      </c>
      <c r="G16" s="2">
        <f xml:space="preserve"> (Assumptions!$B$5 * Assumptions!$B$13) + Assumptions!$B$6 + Assumptions!$B$7 + Assumptions!$B$8</f>
        <v>220000</v>
      </c>
      <c r="H16" s="2">
        <f t="shared" si="0"/>
        <v>-47200</v>
      </c>
      <c r="I16" s="13">
        <f xml:space="preserve"> H16 / Assumptions!$B$10</f>
        <v>-2.3599999999999999E-2</v>
      </c>
      <c r="J16" t="str">
        <f t="shared" si="1"/>
        <v>Low Potential</v>
      </c>
      <c r="K16" s="2">
        <f xml:space="preserve"> G16 / Assumptions!$B$9</f>
        <v>880000</v>
      </c>
      <c r="L16">
        <f xml:space="preserve"> K16 / (Assumptions!$B$2 * Assumptions!$B$4)</f>
        <v>65.18518518518519</v>
      </c>
      <c r="M16" t="str">
        <f t="shared" si="2"/>
        <v>Needs Improvement</v>
      </c>
      <c r="N16" s="3"/>
      <c r="O16" s="3"/>
    </row>
    <row r="17" spans="1:15" x14ac:dyDescent="0.25">
      <c r="A17" t="str">
        <f>INDEX(MumbaiLocationAnalysis[], ROW()-1, 1)</f>
        <v>Goregaon</v>
      </c>
      <c r="B17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25.900000000000002</v>
      </c>
      <c r="C17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35</v>
      </c>
      <c r="D17">
        <f>INDEX(MumbaiLocationAnalysis[], ROW()-1, MATCH("cafe", MumbaiLocationAnalysis[#Headers], 0))</f>
        <v>7</v>
      </c>
      <c r="E17">
        <f xml:space="preserve"> (C17 * Assumptions!$B$3 / 1000) * Assumptions!$B$15</f>
        <v>2.8</v>
      </c>
      <c r="F17" s="2">
        <f xml:space="preserve"> E17 * Assumptions!$B$2 * Assumptions!$B$4</f>
        <v>37800</v>
      </c>
      <c r="G17" s="2">
        <f xml:space="preserve"> (Assumptions!$B$5 * Assumptions!$B$13) + Assumptions!$B$6 + Assumptions!$B$7 + Assumptions!$B$8</f>
        <v>220000</v>
      </c>
      <c r="H17" s="2">
        <f t="shared" si="0"/>
        <v>-182200</v>
      </c>
      <c r="I17" s="13">
        <f xml:space="preserve"> H17 / Assumptions!$B$10</f>
        <v>-9.11E-2</v>
      </c>
      <c r="J17" t="str">
        <f t="shared" si="1"/>
        <v>Strongly Discouraged</v>
      </c>
      <c r="K17" s="2">
        <f xml:space="preserve"> G17 / Assumptions!$B$9</f>
        <v>880000</v>
      </c>
      <c r="L17">
        <f xml:space="preserve"> K17 / (Assumptions!$B$2 * Assumptions!$B$4)</f>
        <v>65.18518518518519</v>
      </c>
      <c r="M17" t="str">
        <f t="shared" si="2"/>
        <v>Needs Improvement</v>
      </c>
      <c r="N17" s="3"/>
      <c r="O17" s="3"/>
    </row>
    <row r="18" spans="1:15" x14ac:dyDescent="0.25">
      <c r="A18" t="str">
        <f>INDEX(MumbaiLocationAnalysis[], ROW()-1, 1)</f>
        <v>Navi Mumbai (Vashi)</v>
      </c>
      <c r="B18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103.60000000000001</v>
      </c>
      <c r="C18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140</v>
      </c>
      <c r="D18">
        <f>INDEX(MumbaiLocationAnalysis[], ROW()-1, MATCH("cafe", MumbaiLocationAnalysis[#Headers], 0))</f>
        <v>28</v>
      </c>
      <c r="E18">
        <f xml:space="preserve"> (C18 * Assumptions!$B$3 / 1000) * Assumptions!$B$15</f>
        <v>11.2</v>
      </c>
      <c r="F18" s="2">
        <f xml:space="preserve"> E18 * Assumptions!$B$2 * Assumptions!$B$4</f>
        <v>151200</v>
      </c>
      <c r="G18" s="2">
        <f xml:space="preserve"> (Assumptions!$B$5 * Assumptions!$B$13) + Assumptions!$B$6 + Assumptions!$B$7 + Assumptions!$B$8</f>
        <v>220000</v>
      </c>
      <c r="H18" s="2">
        <f t="shared" si="0"/>
        <v>-68800</v>
      </c>
      <c r="I18" s="13">
        <f xml:space="preserve"> H18 / Assumptions!$B$10</f>
        <v>-3.44E-2</v>
      </c>
      <c r="J18" t="str">
        <f t="shared" si="1"/>
        <v>Low Potential</v>
      </c>
      <c r="K18" s="2">
        <f xml:space="preserve"> G18 / Assumptions!$B$9</f>
        <v>880000</v>
      </c>
      <c r="L18">
        <f xml:space="preserve"> K18 / (Assumptions!$B$2 * Assumptions!$B$4)</f>
        <v>65.18518518518519</v>
      </c>
      <c r="M18" t="str">
        <f t="shared" si="2"/>
        <v>Needs Improvement</v>
      </c>
      <c r="N18" s="3"/>
      <c r="O18" s="3"/>
    </row>
    <row r="19" spans="1:15" x14ac:dyDescent="0.25">
      <c r="A19" t="str">
        <f>INDEX(MumbaiLocationAnalysis[], ROW()-1, 1)</f>
        <v>Sion</v>
      </c>
      <c r="B19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70.300000000000011</v>
      </c>
      <c r="C19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95</v>
      </c>
      <c r="D19">
        <f>INDEX(MumbaiLocationAnalysis[], ROW()-1, MATCH("cafe", MumbaiLocationAnalysis[#Headers], 0))</f>
        <v>19</v>
      </c>
      <c r="E19">
        <f xml:space="preserve"> (C19 * Assumptions!$B$3 / 1000) * Assumptions!$B$15</f>
        <v>7.6</v>
      </c>
      <c r="F19" s="2">
        <f xml:space="preserve"> E19 * Assumptions!$B$2 * Assumptions!$B$4</f>
        <v>102600</v>
      </c>
      <c r="G19" s="2">
        <f xml:space="preserve"> (Assumptions!$B$5 * Assumptions!$B$13) + Assumptions!$B$6 + Assumptions!$B$7 + Assumptions!$B$8</f>
        <v>220000</v>
      </c>
      <c r="H19" s="2">
        <f t="shared" si="0"/>
        <v>-117400</v>
      </c>
      <c r="I19" s="13">
        <f xml:space="preserve"> H19 / Assumptions!$B$10</f>
        <v>-5.8700000000000002E-2</v>
      </c>
      <c r="J19" t="str">
        <f t="shared" si="1"/>
        <v>Strongly Discouraged</v>
      </c>
      <c r="K19" s="2">
        <f xml:space="preserve"> G19 / Assumptions!$B$9</f>
        <v>880000</v>
      </c>
      <c r="L19">
        <f xml:space="preserve"> K19 / (Assumptions!$B$2 * Assumptions!$B$4)</f>
        <v>65.18518518518519</v>
      </c>
      <c r="M19" t="str">
        <f t="shared" si="2"/>
        <v>Needs Improvement</v>
      </c>
      <c r="N19" s="3"/>
      <c r="O19" s="3"/>
    </row>
    <row r="20" spans="1:15" x14ac:dyDescent="0.25">
      <c r="A20" t="str">
        <f>INDEX(MumbaiLocationAnalysis[], ROW()-1, 1)</f>
        <v>Matunga</v>
      </c>
      <c r="B20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133.20000000000002</v>
      </c>
      <c r="C20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180</v>
      </c>
      <c r="D20">
        <f>INDEX(MumbaiLocationAnalysis[], ROW()-1, MATCH("cafe", MumbaiLocationAnalysis[#Headers], 0))</f>
        <v>36</v>
      </c>
      <c r="E20">
        <f xml:space="preserve"> (C20 * Assumptions!$B$3 / 1000) * Assumptions!$B$15</f>
        <v>14.4</v>
      </c>
      <c r="F20" s="2">
        <f xml:space="preserve"> E20 * Assumptions!$B$2 * Assumptions!$B$4</f>
        <v>194400</v>
      </c>
      <c r="G20" s="2">
        <f xml:space="preserve"> (Assumptions!$B$5 * Assumptions!$B$13) + Assumptions!$B$6 + Assumptions!$B$7 + Assumptions!$B$8</f>
        <v>220000</v>
      </c>
      <c r="H20" s="2">
        <f t="shared" si="0"/>
        <v>-25600</v>
      </c>
      <c r="I20" s="13">
        <f xml:space="preserve"> H20 / Assumptions!$B$10</f>
        <v>-1.2800000000000001E-2</v>
      </c>
      <c r="J20" t="str">
        <f t="shared" si="1"/>
        <v>Worth Considering</v>
      </c>
      <c r="K20" s="2">
        <f xml:space="preserve"> G20 / Assumptions!$B$9</f>
        <v>880000</v>
      </c>
      <c r="L20">
        <f xml:space="preserve"> K20 / (Assumptions!$B$2 * Assumptions!$B$4)</f>
        <v>65.18518518518519</v>
      </c>
      <c r="M20" t="str">
        <f t="shared" si="2"/>
        <v>Needs Improvement</v>
      </c>
      <c r="N20" s="3"/>
      <c r="O20" s="3"/>
    </row>
    <row r="21" spans="1:15" x14ac:dyDescent="0.25">
      <c r="A21" t="str">
        <f>INDEX(MumbaiLocationAnalysis[], ROW()-1, 1)</f>
        <v>Versova</v>
      </c>
      <c r="B21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177.60000000000002</v>
      </c>
      <c r="C21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240</v>
      </c>
      <c r="D21">
        <f>INDEX(MumbaiLocationAnalysis[], ROW()-1, MATCH("cafe", MumbaiLocationAnalysis[#Headers], 0))</f>
        <v>48</v>
      </c>
      <c r="E21">
        <f xml:space="preserve"> (C21 * Assumptions!$B$3 / 1000) * Assumptions!$B$15</f>
        <v>19.2</v>
      </c>
      <c r="F21" s="2">
        <f xml:space="preserve"> E21 * Assumptions!$B$2 * Assumptions!$B$4</f>
        <v>259200</v>
      </c>
      <c r="G21" s="2">
        <f xml:space="preserve"> (Assumptions!$B$5 * Assumptions!$B$13) + Assumptions!$B$6 + Assumptions!$B$7 + Assumptions!$B$8</f>
        <v>220000</v>
      </c>
      <c r="H21" s="2">
        <f t="shared" si="0"/>
        <v>39200</v>
      </c>
      <c r="I21" s="13">
        <f xml:space="preserve"> H21 / Assumptions!$B$10</f>
        <v>1.9599999999999999E-2</v>
      </c>
      <c r="J21" t="str">
        <f t="shared" si="1"/>
        <v>Strongly Recommended</v>
      </c>
      <c r="K21" s="2">
        <f xml:space="preserve"> G21 / Assumptions!$B$9</f>
        <v>880000</v>
      </c>
      <c r="L21">
        <f xml:space="preserve"> K21 / (Assumptions!$B$2 * Assumptions!$B$4)</f>
        <v>65.18518518518519</v>
      </c>
      <c r="M21" t="str">
        <f t="shared" si="2"/>
        <v>Profitable</v>
      </c>
      <c r="N21" s="3"/>
      <c r="O21" s="3"/>
    </row>
    <row r="22" spans="1:15" x14ac:dyDescent="0.25">
      <c r="A22" t="str">
        <f>INDEX(MumbaiLocationAnalysis[], ROW()-1, 1)</f>
        <v>Vikhroli</v>
      </c>
      <c r="B22">
        <f>INDEX(MumbaiLocationAnalysis[], ROW()-1, MATCH("restaurant", MumbaiLocationAnalysis[#Headers], 0))*0.8 +
 INDEX(MumbaiLocationAnalysis[], ROW()-1, MATCH("shopping_mall", MumbaiLocationAnalysis[#Headers], 0))*0.7 +
 INDEX(MumbaiLocationAnalysis[], ROW()-1, MATCH("office", MumbaiLocationAnalysis[#Headers], 0))*0.6 +
 INDEX(MumbaiLocationAnalysis[], ROW()-1, MATCH("park", MumbaiLocationAnalysis[#Headers], 0))*0.5 +
 INDEX(MumbaiLocationAnalysis[], ROW()-1, MATCH("gym", MumbaiLocationAnalysis[#Headers], 0))*0.4 +
 INDEX(MumbaiLocationAnalysis[], ROW()-1, MATCH("tourist_attraction", MumbaiLocationAnalysis[#Headers], 0))*0.6 +
 INDEX(MumbaiLocationAnalysis[], ROW()-1, MATCH("bank", MumbaiLocationAnalysis[#Headers], 0))*0.3 +
 INDEX(MumbaiLocationAnalysis[], ROW()-1, MATCH("hospital", MumbaiLocationAnalysis[#Headers], 0))*0.3 +
 INDEX(MumbaiLocationAnalysis[], ROW()-1, MATCH("school", MumbaiLocationAnalysis[#Headers], 0))*0.3 -
 INDEX(MumbaiLocationAnalysis[], ROW()-1, MATCH("cafe", MumbaiLocationAnalysis[#Headers], 0))*0.8</f>
        <v>14.8</v>
      </c>
      <c r="C22">
        <f>INDEX(MumbaiLocationAnalysis[], ROW()-1, MATCH("restaurant", MumbaiLocationAnalysis[#Headers], 0)) +
 INDEX(MumbaiLocationAnalysis[], ROW()-1, MATCH("shopping_mall", MumbaiLocationAnalysis[#Headers], 0)) +
 INDEX(MumbaiLocationAnalysis[], ROW()-1, MATCH("office", MumbaiLocationAnalysis[#Headers], 0)) +
 INDEX(MumbaiLocationAnalysis[], ROW()-1, MATCH("park", MumbaiLocationAnalysis[#Headers], 0)) +
 INDEX(MumbaiLocationAnalysis[], ROW()-1, MATCH("tourist_attraction", MumbaiLocationAnalysis[#Headers], 0))</f>
        <v>20</v>
      </c>
      <c r="D22">
        <f>INDEX(MumbaiLocationAnalysis[], ROW()-1, MATCH("cafe", MumbaiLocationAnalysis[#Headers], 0))</f>
        <v>4</v>
      </c>
      <c r="E22">
        <f xml:space="preserve"> (C22 * Assumptions!$B$3 / 1000) * Assumptions!$B$15</f>
        <v>1.6</v>
      </c>
      <c r="F22" s="2">
        <f xml:space="preserve"> E22 * Assumptions!$B$2 * Assumptions!$B$4</f>
        <v>21600</v>
      </c>
      <c r="G22" s="2">
        <f xml:space="preserve"> (Assumptions!$B$5 * Assumptions!$B$13) + Assumptions!$B$6 + Assumptions!$B$7 + Assumptions!$B$8</f>
        <v>220000</v>
      </c>
      <c r="H22" s="2">
        <f t="shared" si="0"/>
        <v>-198400</v>
      </c>
      <c r="I22" s="13">
        <f xml:space="preserve"> H22 / Assumptions!$B$10</f>
        <v>-9.9199999999999997E-2</v>
      </c>
      <c r="J22" t="str">
        <f t="shared" si="1"/>
        <v>Strongly Discouraged</v>
      </c>
      <c r="K22" s="2">
        <f xml:space="preserve"> G22 / Assumptions!$B$9</f>
        <v>880000</v>
      </c>
      <c r="L22">
        <f xml:space="preserve"> K22 / (Assumptions!$B$2 * Assumptions!$B$4)</f>
        <v>65.18518518518519</v>
      </c>
      <c r="M22" t="str">
        <f t="shared" si="2"/>
        <v>Needs Improvement</v>
      </c>
      <c r="N22" s="3"/>
      <c r="O22" s="3"/>
    </row>
    <row r="23" spans="1:15" x14ac:dyDescent="0.25">
      <c r="F23" s="2"/>
      <c r="G23" s="2"/>
      <c r="H23" s="2"/>
    </row>
  </sheetData>
  <conditionalFormatting sqref="H1:H1048576">
    <cfRule type="top10" dxfId="0" priority="1" rank="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7144-7A6E-44D5-ACBA-934B9E9AAE70}">
  <dimension ref="A1:G11"/>
  <sheetViews>
    <sheetView zoomScale="145" zoomScaleNormal="145" workbookViewId="0">
      <selection activeCell="I16" sqref="I16"/>
    </sheetView>
  </sheetViews>
  <sheetFormatPr defaultRowHeight="15" x14ac:dyDescent="0.25"/>
  <cols>
    <col min="1" max="1" width="26.140625" bestFit="1" customWidth="1"/>
    <col min="2" max="7" width="10.5703125" bestFit="1" customWidth="1"/>
  </cols>
  <sheetData>
    <row r="1" spans="1:7" x14ac:dyDescent="0.25">
      <c r="A1" s="2"/>
      <c r="B1" s="6" t="s">
        <v>1179</v>
      </c>
      <c r="C1" s="6"/>
      <c r="D1" s="6"/>
      <c r="E1" s="6"/>
      <c r="F1" s="6"/>
      <c r="G1" s="6"/>
    </row>
    <row r="2" spans="1:7" x14ac:dyDescent="0.25">
      <c r="A2" s="5" t="s">
        <v>1180</v>
      </c>
      <c r="B2" s="7">
        <v>0.7</v>
      </c>
      <c r="C2" s="7">
        <v>0.8</v>
      </c>
      <c r="D2" s="7">
        <v>0.9</v>
      </c>
      <c r="E2" s="7">
        <v>1</v>
      </c>
      <c r="F2" s="7">
        <v>1.1000000000000001</v>
      </c>
      <c r="G2" s="7">
        <v>1.2</v>
      </c>
    </row>
    <row r="3" spans="1:7" x14ac:dyDescent="0.25">
      <c r="A3" s="8">
        <v>0.6</v>
      </c>
      <c r="B3" s="2">
        <f xml:space="preserve"> ( (Model!$C$3 * Assumptions!$B$3 / 1000) * $A3 * Assumptions!$B$2 * Assumptions!$B$4 ) - ( (Assumptions!$B$5 * B$2) + Assumptions!$B$6 + Assumptions!$B$7 + Assumptions!$B$8 )</f>
        <v>-31000</v>
      </c>
      <c r="C3" s="2">
        <f xml:space="preserve"> ( (Model!$C$3 * Assumptions!$B$3 / 1000) * $A3 * Assumptions!$B$2 * Assumptions!$B$4 ) - ( (Assumptions!$B$5 * C$2) + Assumptions!$B$6 + Assumptions!$B$7 + Assumptions!$B$8 )</f>
        <v>-40000</v>
      </c>
      <c r="D3" s="2">
        <f xml:space="preserve"> ( (Model!$C$3 * Assumptions!$B$3 / 1000) * $A3 * Assumptions!$B$2 * Assumptions!$B$4 ) - ( (Assumptions!$B$5 * D$2) + Assumptions!$B$6 + Assumptions!$B$7 + Assumptions!$B$8 )</f>
        <v>-49000</v>
      </c>
      <c r="E3" s="2">
        <f xml:space="preserve"> ( (Model!$C$3 * Assumptions!$B$3 / 1000) * $A3 * Assumptions!$B$2 * Assumptions!$B$4 ) - ( (Assumptions!$B$5 * E$2) + Assumptions!$B$6 + Assumptions!$B$7 + Assumptions!$B$8 )</f>
        <v>-58000</v>
      </c>
      <c r="F3" s="2">
        <f xml:space="preserve"> ( (Model!$C$3 * Assumptions!$B$3 / 1000) * $A3 * Assumptions!$B$2 * Assumptions!$B$4 ) - ( (Assumptions!$B$5 * F$2) + Assumptions!$B$6 + Assumptions!$B$7 + Assumptions!$B$8 )</f>
        <v>-67000</v>
      </c>
      <c r="G3" s="2">
        <f xml:space="preserve"> ( (Model!$C$3 * Assumptions!$B$3 / 1000) * $A3 * Assumptions!$B$2 * Assumptions!$B$4 ) - ( (Assumptions!$B$5 * G$2) + Assumptions!$B$6 + Assumptions!$B$7 + Assumptions!$B$8 )</f>
        <v>-76000</v>
      </c>
    </row>
    <row r="4" spans="1:7" x14ac:dyDescent="0.25">
      <c r="A4" s="8">
        <v>0.8</v>
      </c>
      <c r="B4" s="2">
        <f xml:space="preserve"> ( (Model!$C$3 * Assumptions!$B$3 / 1000) * $A4 * Assumptions!$B$2 * Assumptions!$B$4 ) - ( (Assumptions!$B$5 * B$2) + Assumptions!$B$6 + Assumptions!$B$7 + Assumptions!$B$8 )</f>
        <v>23000</v>
      </c>
      <c r="C4" s="2">
        <f xml:space="preserve"> ( (Model!$C$3 * Assumptions!$B$3 / 1000) * $A4 * Assumptions!$B$2 * Assumptions!$B$4 ) - ( (Assumptions!$B$5 * C$2) + Assumptions!$B$6 + Assumptions!$B$7 + Assumptions!$B$8 )</f>
        <v>14000</v>
      </c>
      <c r="D4" s="2">
        <f xml:space="preserve"> ( (Model!$C$3 * Assumptions!$B$3 / 1000) * $A4 * Assumptions!$B$2 * Assumptions!$B$4 ) - ( (Assumptions!$B$5 * D$2) + Assumptions!$B$6 + Assumptions!$B$7 + Assumptions!$B$8 )</f>
        <v>5000</v>
      </c>
      <c r="E4" s="2">
        <f xml:space="preserve"> ( (Model!$C$3 * Assumptions!$B$3 / 1000) * $A4 * Assumptions!$B$2 * Assumptions!$B$4 ) - ( (Assumptions!$B$5 * E$2) + Assumptions!$B$6 + Assumptions!$B$7 + Assumptions!$B$8 )</f>
        <v>-4000</v>
      </c>
      <c r="F4" s="2">
        <f xml:space="preserve"> ( (Model!$C$3 * Assumptions!$B$3 / 1000) * $A4 * Assumptions!$B$2 * Assumptions!$B$4 ) - ( (Assumptions!$B$5 * F$2) + Assumptions!$B$6 + Assumptions!$B$7 + Assumptions!$B$8 )</f>
        <v>-13000</v>
      </c>
      <c r="G4" s="2">
        <f xml:space="preserve"> ( (Model!$C$3 * Assumptions!$B$3 / 1000) * $A4 * Assumptions!$B$2 * Assumptions!$B$4 ) - ( (Assumptions!$B$5 * G$2) + Assumptions!$B$6 + Assumptions!$B$7 + Assumptions!$B$8 )</f>
        <v>-22000</v>
      </c>
    </row>
    <row r="5" spans="1:7" x14ac:dyDescent="0.25">
      <c r="A5" s="8">
        <v>1</v>
      </c>
      <c r="B5" s="2">
        <f xml:space="preserve"> ( (Model!$C$3 * Assumptions!$B$3 / 1000) * $A5 * Assumptions!$B$2 * Assumptions!$B$4 ) - ( (Assumptions!$B$5 * B$2) + Assumptions!$B$6 + Assumptions!$B$7 + Assumptions!$B$8 )</f>
        <v>77000</v>
      </c>
      <c r="C5" s="2">
        <f xml:space="preserve"> ( (Model!$C$3 * Assumptions!$B$3 / 1000) * $A5 * Assumptions!$B$2 * Assumptions!$B$4 ) - ( (Assumptions!$B$5 * C$2) + Assumptions!$B$6 + Assumptions!$B$7 + Assumptions!$B$8 )</f>
        <v>68000</v>
      </c>
      <c r="D5" s="2">
        <f xml:space="preserve"> ( (Model!$C$3 * Assumptions!$B$3 / 1000) * $A5 * Assumptions!$B$2 * Assumptions!$B$4 ) - ( (Assumptions!$B$5 * D$2) + Assumptions!$B$6 + Assumptions!$B$7 + Assumptions!$B$8 )</f>
        <v>59000</v>
      </c>
      <c r="E5" s="2">
        <f xml:space="preserve"> ( (Model!$C$3 * Assumptions!$B$3 / 1000) * $A5 * Assumptions!$B$2 * Assumptions!$B$4 ) - ( (Assumptions!$B$5 * E$2) + Assumptions!$B$6 + Assumptions!$B$7 + Assumptions!$B$8 )</f>
        <v>50000</v>
      </c>
      <c r="F5" s="2">
        <f xml:space="preserve"> ( (Model!$C$3 * Assumptions!$B$3 / 1000) * $A5 * Assumptions!$B$2 * Assumptions!$B$4 ) - ( (Assumptions!$B$5 * F$2) + Assumptions!$B$6 + Assumptions!$B$7 + Assumptions!$B$8 )</f>
        <v>41000</v>
      </c>
      <c r="G5" s="2">
        <f xml:space="preserve"> ( (Model!$C$3 * Assumptions!$B$3 / 1000) * $A5 * Assumptions!$B$2 * Assumptions!$B$4 ) - ( (Assumptions!$B$5 * G$2) + Assumptions!$B$6 + Assumptions!$B$7 + Assumptions!$B$8 )</f>
        <v>32000</v>
      </c>
    </row>
    <row r="6" spans="1:7" x14ac:dyDescent="0.25">
      <c r="A6" s="8">
        <v>1.2</v>
      </c>
      <c r="B6" s="2">
        <f xml:space="preserve"> ( (Model!$C$3 * Assumptions!$B$3 / 1000) * $A6 * Assumptions!$B$2 * Assumptions!$B$4 ) - ( (Assumptions!$B$5 * B$2) + Assumptions!$B$6 + Assumptions!$B$7 + Assumptions!$B$8 )</f>
        <v>131000</v>
      </c>
      <c r="C6" s="2">
        <f xml:space="preserve"> ( (Model!$C$3 * Assumptions!$B$3 / 1000) * $A6 * Assumptions!$B$2 * Assumptions!$B$4 ) - ( (Assumptions!$B$5 * C$2) + Assumptions!$B$6 + Assumptions!$B$7 + Assumptions!$B$8 )</f>
        <v>122000</v>
      </c>
      <c r="D6" s="2">
        <f xml:space="preserve"> ( (Model!$C$3 * Assumptions!$B$3 / 1000) * $A6 * Assumptions!$B$2 * Assumptions!$B$4 ) - ( (Assumptions!$B$5 * D$2) + Assumptions!$B$6 + Assumptions!$B$7 + Assumptions!$B$8 )</f>
        <v>113000</v>
      </c>
      <c r="E6" s="2">
        <f xml:space="preserve"> ( (Model!$C$3 * Assumptions!$B$3 / 1000) * $A6 * Assumptions!$B$2 * Assumptions!$B$4 ) - ( (Assumptions!$B$5 * E$2) + Assumptions!$B$6 + Assumptions!$B$7 + Assumptions!$B$8 )</f>
        <v>104000</v>
      </c>
      <c r="F6" s="2">
        <f xml:space="preserve"> ( (Model!$C$3 * Assumptions!$B$3 / 1000) * $A6 * Assumptions!$B$2 * Assumptions!$B$4 ) - ( (Assumptions!$B$5 * F$2) + Assumptions!$B$6 + Assumptions!$B$7 + Assumptions!$B$8 )</f>
        <v>95000</v>
      </c>
      <c r="G6" s="2">
        <f xml:space="preserve"> ( (Model!$C$3 * Assumptions!$B$3 / 1000) * $A6 * Assumptions!$B$2 * Assumptions!$B$4 ) - ( (Assumptions!$B$5 * G$2) + Assumptions!$B$6 + Assumptions!$B$7 + Assumptions!$B$8 )</f>
        <v>86000</v>
      </c>
    </row>
    <row r="7" spans="1:7" x14ac:dyDescent="0.25">
      <c r="A7" s="8">
        <v>1.4</v>
      </c>
      <c r="B7" s="2">
        <f xml:space="preserve"> ( (Model!$C$3 * Assumptions!$B$3 / 1000) * $A7 * Assumptions!$B$2 * Assumptions!$B$4 ) - ( (Assumptions!$B$5 * B$2) + Assumptions!$B$6 + Assumptions!$B$7 + Assumptions!$B$8 )</f>
        <v>185000</v>
      </c>
      <c r="C7" s="2">
        <f xml:space="preserve"> ( (Model!$C$3 * Assumptions!$B$3 / 1000) * $A7 * Assumptions!$B$2 * Assumptions!$B$4 ) - ( (Assumptions!$B$5 * C$2) + Assumptions!$B$6 + Assumptions!$B$7 + Assumptions!$B$8 )</f>
        <v>176000</v>
      </c>
      <c r="D7" s="2">
        <f xml:space="preserve"> ( (Model!$C$3 * Assumptions!$B$3 / 1000) * $A7 * Assumptions!$B$2 * Assumptions!$B$4 ) - ( (Assumptions!$B$5 * D$2) + Assumptions!$B$6 + Assumptions!$B$7 + Assumptions!$B$8 )</f>
        <v>167000</v>
      </c>
      <c r="E7" s="2">
        <f xml:space="preserve"> ( (Model!$C$3 * Assumptions!$B$3 / 1000) * $A7 * Assumptions!$B$2 * Assumptions!$B$4 ) - ( (Assumptions!$B$5 * E$2) + Assumptions!$B$6 + Assumptions!$B$7 + Assumptions!$B$8 )</f>
        <v>158000</v>
      </c>
      <c r="F7" s="2">
        <f xml:space="preserve"> ( (Model!$C$3 * Assumptions!$B$3 / 1000) * $A7 * Assumptions!$B$2 * Assumptions!$B$4 ) - ( (Assumptions!$B$5 * F$2) + Assumptions!$B$6 + Assumptions!$B$7 + Assumptions!$B$8 )</f>
        <v>149000</v>
      </c>
      <c r="G7" s="2">
        <f xml:space="preserve"> ( (Model!$C$3 * Assumptions!$B$3 / 1000) * $A7 * Assumptions!$B$2 * Assumptions!$B$4 ) - ( (Assumptions!$B$5 * G$2) + Assumptions!$B$6 + Assumptions!$B$7 + Assumptions!$B$8 )</f>
        <v>140000</v>
      </c>
    </row>
    <row r="10" spans="1:7" x14ac:dyDescent="0.25">
      <c r="A10" s="3"/>
    </row>
    <row r="11" spans="1:7" x14ac:dyDescent="0.25">
      <c r="A11" s="3"/>
    </row>
  </sheetData>
  <mergeCells count="1">
    <mergeCell ref="B1:G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B50C3F-6B72-4CC7-A4BD-46C62B6158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CompetitorDetails</vt:lpstr>
      <vt:lpstr>MumbaiLocationAnalysis</vt:lpstr>
      <vt:lpstr>Assumptions</vt:lpstr>
      <vt:lpstr>Model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Khan</dc:creator>
  <cp:lastModifiedBy>Ibrahim Khan</cp:lastModifiedBy>
  <dcterms:created xsi:type="dcterms:W3CDTF">2026-08-15T10:58:57Z</dcterms:created>
  <dcterms:modified xsi:type="dcterms:W3CDTF">2026-08-24T10:58:35Z</dcterms:modified>
</cp:coreProperties>
</file>